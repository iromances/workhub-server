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379731e9d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结论" sheetId="1" r:id="Rd99d4f839d9b4ed1"/>
    <x:sheet xmlns:r="http://schemas.openxmlformats.org/officeDocument/2006/relationships" name="差异明细" sheetId="2" r:id="Rec296d81f985484a"/>
    <x:sheet xmlns:r="http://schemas.openxmlformats.org/officeDocument/2006/relationships" name="日期汇总" sheetId="3" r:id="Rbfbf0e9afbf44ebd"/>
    <x:sheet xmlns:r="http://schemas.openxmlformats.org/officeDocument/2006/relationships" name="结算汇总" sheetId="4" r:id="R79c866fb4e694623"/>
    <x:sheet xmlns:r="http://schemas.openxmlformats.org/officeDocument/2006/relationships" name="分段校验" sheetId="5" r:id="R2b066c172afa4bab"/>
    <x:sheet xmlns:r="http://schemas.openxmlformats.org/officeDocument/2006/relationships" name="检查" sheetId="6" r:id="R4fcd8c033634452b"/>
    <x:sheet xmlns:r="http://schemas.openxmlformats.org/officeDocument/2006/relationships" name="口径与来源" sheetId="7" r:id="Ra1c0fcfbc55745bb"/>
  </x:sheets>
</x:workbook>
</file>

<file path=xl/comments1.xml><?xml version="1.0" encoding="utf-8"?>
<x:comments xmlns:x="http://schemas.openxmlformats.org/spreadsheetml/2006/main">
  <x:authors>
    <x:author>tc={4F701C9E-1012-88F5-2E51-6DD7BBD27751}</x:author>
    <x:author>tc={304D8530-DA66-377D-B36E-C5BF1447F26A}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嘉泰消费分期“6月提单实际还款数据.xlsx”中交易成功、还款类型=资方服务费的全部记录。</x:t>
        </x:r>
      </x:text>
    </x:comment>
    <x:comment ref="C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消费分期生产只读库 amp_saps.bill_fee_detail，科目 P0003，按 repayment_plan.funder_bill_no 与嘉泰放款申请单号_期数匹配。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[Red](#,##0);-"/>
    <x:numFmt numFmtId="201" formatCode="#,##0.00;[Red](#,##0.00);-"/>
    <x:numFmt numFmtId="202" formatCode="yyyy-mm-dd"/>
    <x:numFmt numFmtId="203" formatCode="0.00x"/>
    <x:numFmt numFmtId="204" formatCode="0.00%;[Red](0.00%);-"/>
  </x:numFmts>
  <x:fonts count="2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2"/>
      <x:color rgb="FF101828"/>
      <x:name val="Carlito"/>
    </x:font>
    <x:font>
      <x:b/>
      <x:sz val="12"/>
      <x:color rgb="FF2E7D32"/>
      <x:name val="Carlito"/>
    </x:font>
    <x:font>
      <x:b/>
      <x:sz val="11"/>
      <x:color rgb="FF2F75B5"/>
      <x:name val="Carlito"/>
    </x:font>
    <x:font>
      <x:sz val="10"/>
      <x:color rgb="FF101828"/>
      <x:name val="Carlito"/>
    </x:font>
    <x:font>
      <x:b/>
      <x:sz val="10"/>
      <x:color rgb="FFC62828"/>
      <x:name val="Carlito"/>
    </x:font>
    <x:font>
      <x:b/>
      <x:sz val="10"/>
      <x:color rgb="FF2E7D32"/>
      <x:name val="Carlito"/>
    </x:font>
    <x:font>
      <x:b/>
      <x:sz val="10"/>
      <x:color rgb="FFBF6A02"/>
      <x:name val="Carlito"/>
    </x:font>
    <x:font>
      <x:b/>
      <x:sz val="16"/>
      <x:color rgb="FFFFFFFF"/>
      <x:name val="Aptos"/>
    </x:font>
    <x:font>
      <x:i/>
      <x:sz val="10"/>
      <x:color rgb="FF66708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2"/>
      <x:color rgb="FF2E7D32"/>
      <x:name val="Aptos"/>
    </x:font>
    <x:font>
      <x:b/>
      <x:sz val="12"/>
      <x:color rgb="FF101828"/>
      <x:name val="Aptos"/>
    </x:font>
    <x:font>
      <x:b/>
      <x:sz val="11"/>
      <x:color rgb="FF2F75B5"/>
      <x:name val="Aptos"/>
    </x:font>
    <x:font>
      <x:sz val="10"/>
      <x:color rgb="FF101828"/>
      <x:name val="Aptos"/>
    </x:font>
    <x:font>
      <x:b/>
      <x:sz val="10"/>
      <x:color rgb="FFC62828"/>
      <x:name val="Aptos"/>
    </x:font>
    <x:font>
      <x:b/>
      <x:sz val="10"/>
      <x:color rgb="FF2E7D32"/>
      <x:name val="Aptos"/>
    </x:font>
    <x:font>
      <x:b/>
      <x:sz val="10"/>
      <x:color rgb="FFBF6A02"/>
      <x:name val="Aptos"/>
    </x:font>
    <x:font>
      <x:b/>
      <x:sz val="11"/>
      <x:color rgb="FF16324F"/>
      <x:name val="Carlito"/>
    </x:font>
    <x:font>
      <x:b/>
      <x:sz val="11"/>
      <x:color rgb="FF16324F"/>
      <x:name val="Aptos"/>
    </x:font>
    <x:font>
      <x:b/>
      <x:sz val="14"/>
      <x:color rgb="FF2E7D32"/>
      <x:name val="Carlito"/>
    </x:font>
    <x:font>
      <x:b/>
      <x:sz val="14"/>
      <x:color rgb="FF2E7D32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ED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bottom style="thin">
        <x:color rgb="FFD0D5DD"/>
      </x:bottom>
    </x:border>
    <x:border>
      <x:top style="thin">
        <x:color rgb="FFD0D5DD"/>
      </x:top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top style="double">
        <x:color rgb="FF16324F"/>
      </x:top>
    </x:border>
  </x:borders>
  <x:cellStyleXfs count="1">
    <x:xf numFmtId="0" fontId="0" fillId="0" borderId="0"/>
  </x:cellStyleXfs>
  <x:cellXfs count="1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right"/>
    </x:xf>
    <x:xf numFmtId="0" fontId="4" fillId="5" borderId="3" xfId="0" applyNumberFormat="1" applyFont="1" applyFill="1" applyBorder="1" applyAlignment="1">
      <x:alignment horizontal="right"/>
    </x:xf>
    <x:xf numFmtId="0" fontId="4" fillId="5" borderId="4" xfId="0" applyNumberFormat="1" applyFont="1" applyFill="1" applyBorder="1" applyAlignment="1">
      <x:alignment horizontal="right"/>
    </x:xf>
    <x:xf numFmtId="0" fontId="4" fillId="5" borderId="2" xfId="0" applyNumberFormat="1" applyFont="1" applyFill="1" applyBorder="1" applyAlignment="1">
      <x:alignment horizontal="right" vertical="center"/>
    </x:xf>
    <x:xf numFmtId="0" fontId="4" fillId="5" borderId="3" xfId="0" applyNumberFormat="1" applyFont="1" applyFill="1" applyBorder="1" applyAlignment="1">
      <x:alignment horizontal="right" vertical="center"/>
    </x:xf>
    <x:xf numFmtId="0" fontId="4" fillId="5" borderId="4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1" fontId="4" fillId="5" borderId="3" xfId="0" applyNumberFormat="1" applyFont="1" applyFill="1" applyBorder="1" applyAlignment="1">
      <x:alignment horizontal="right" vertical="center"/>
    </x:xf>
    <x:xf numFmtId="200" fontId="4" fillId="5" borderId="3" xfId="0" applyNumberFormat="1" applyFont="1" applyFill="1" applyBorder="1" applyAlignment="1">
      <x:alignment horizontal="right" vertical="center"/>
    </x:xf>
    <x:xf numFmtId="201" fontId="4" fillId="5" borderId="4" xfId="0" applyNumberFormat="1" applyFont="1" applyFill="1" applyBorder="1" applyAlignment="1">
      <x:alignment horizontal="right" vertical="center"/>
    </x:xf>
    <x:xf numFmtId="200" fontId="5" fillId="5" borderId="2" xfId="0" applyNumberFormat="1" applyFont="1" applyFill="1" applyBorder="1" applyAlignment="1">
      <x:alignment horizontal="right" vertical="center"/>
    </x:xf>
    <x:xf numFmtId="201" fontId="5" fillId="5" borderId="3" xfId="0" applyNumberFormat="1" applyFont="1" applyFill="1" applyBorder="1" applyAlignment="1">
      <x:alignment horizontal="right" vertical="center"/>
    </x:xf>
    <x:xf numFmtId="200" fontId="5" fillId="5" borderId="3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3" xfId="0" applyNumberFormat="1" applyFont="1" applyFill="1" applyBorder="1"/>
    <x:xf numFmtId="0" fontId="7" fillId="7" borderId="6" xfId="0" applyNumberFormat="1" applyFont="1" applyFill="1" applyBorder="1"/>
    <x:xf numFmtId="0" fontId="7" fillId="7" borderId="5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7" xfId="0" applyNumberFormat="1" applyFont="1" applyFill="1" applyBorder="1" applyAlignment="1">
      <x:alignment vertical="center"/>
    </x:xf>
    <x:xf numFmtId="0" fontId="7" fillId="0" borderId="8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200" fontId="7" fillId="0" borderId="7" xfId="0" applyNumberFormat="1" applyFont="1" applyFill="1" applyBorder="1" applyAlignment="1">
      <x:alignment vertical="center"/>
    </x:xf>
    <x:xf numFmtId="200" fontId="7" fillId="0" borderId="8" xfId="0" applyNumberFormat="1" applyFont="1" applyFill="1" applyBorder="1" applyAlignment="1">
      <x:alignment vertical="center"/>
    </x:xf>
    <x:xf numFmtId="200" fontId="7" fillId="0" borderId="9" xfId="0" applyNumberFormat="1" applyFont="1" applyFill="1" applyBorder="1" applyAlignment="1">
      <x:alignment vertical="center"/>
    </x:xf>
    <x:xf numFmtId="201" fontId="7" fillId="0" borderId="7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201" fontId="7" fillId="8" borderId="7" xfId="0" applyNumberFormat="1" applyFont="1" applyFill="1" applyBorder="1" applyAlignment="1">
      <x:alignment vertical="center"/>
    </x:xf>
    <x:xf numFmtId="201" fontId="8" fillId="8" borderId="7" xfId="0" applyNumberFormat="1" applyFont="1" applyFill="1" applyBorder="1" applyAlignment="1">
      <x:alignment vertical="center"/>
    </x:xf>
    <x:xf numFmtId="201" fontId="7" fillId="9" borderId="8" xfId="0" applyNumberFormat="1" applyFont="1" applyFill="1" applyBorder="1" applyAlignment="1">
      <x:alignment vertical="center"/>
    </x:xf>
    <x:xf numFmtId="201" fontId="9" fillId="9" borderId="8" xfId="0" applyNumberFormat="1" applyFont="1" applyFill="1" applyBorder="1" applyAlignment="1">
      <x:alignment vertical="center"/>
    </x:xf>
    <x:xf numFmtId="201" fontId="7" fillId="10" borderId="9" xfId="0" applyNumberFormat="1" applyFont="1" applyFill="1" applyBorder="1" applyAlignment="1">
      <x:alignment vertical="center"/>
    </x:xf>
    <x:xf numFmtId="201" fontId="10" fillId="10" borderId="9" xfId="0" applyNumberFormat="1" applyFont="1" applyFill="1" applyBorder="1" applyAlignment="1">
      <x:alignment vertical="center"/>
    </x:xf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4" borderId="1" xfId="0" applyNumberFormat="1" applyFont="1" applyFill="1" applyBorder="1" applyAlignment="1">
      <x:alignment horizontal="center" vertical="center" wrapText="1"/>
    </x:xf>
    <x:xf numFmtId="200" fontId="15" fillId="5" borderId="2" xfId="0" applyNumberFormat="1" applyFont="1" applyFill="1" applyBorder="1" applyAlignment="1">
      <x:alignment horizontal="right" vertical="center"/>
    </x:xf>
    <x:xf numFmtId="201" fontId="15" fillId="5" borderId="3" xfId="0" applyNumberFormat="1" applyFont="1" applyFill="1" applyBorder="1" applyAlignment="1">
      <x:alignment horizontal="right" vertical="center"/>
    </x:xf>
    <x:xf numFmtId="201" fontId="16" fillId="5" borderId="3" xfId="0" applyNumberFormat="1" applyFont="1" applyFill="1" applyBorder="1" applyAlignment="1">
      <x:alignment horizontal="right" vertical="center"/>
    </x:xf>
    <x:xf numFmtId="200" fontId="15" fillId="5" borderId="3" xfId="0" applyNumberFormat="1" applyFont="1" applyFill="1" applyBorder="1" applyAlignment="1">
      <x:alignment horizontal="right" vertical="center"/>
    </x:xf>
    <x:xf numFmtId="200" fontId="16" fillId="5" borderId="3" xfId="0" applyNumberFormat="1" applyFont="1" applyFill="1" applyBorder="1" applyAlignment="1">
      <x:alignment horizontal="right" vertical="center"/>
    </x:xf>
    <x:xf numFmtId="201" fontId="16" fillId="5" borderId="4" xfId="0" applyNumberFormat="1" applyFont="1" applyFill="1" applyBorder="1" applyAlignment="1">
      <x:alignment horizontal="right" vertical="center"/>
    </x:xf>
    <x:xf numFmtId="0" fontId="14" fillId="2" borderId="0" xfId="0" applyNumberFormat="1" applyFont="1" applyFill="1" applyBorder="1"/>
    <x:xf numFmtId="0" fontId="17" fillId="6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vertical="center" wrapText="1"/>
    </x:xf>
    <x:xf numFmtId="0" fontId="18" fillId="7" borderId="3" xfId="0" applyNumberFormat="1" applyFont="1" applyFill="1" applyBorder="1" applyAlignment="1">
      <x:alignment vertical="center" wrapText="1"/>
    </x:xf>
    <x:xf numFmtId="0" fontId="18" fillId="7" borderId="6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/>
    </x:xf>
    <x:xf numFmtId="200" fontId="18" fillId="0" borderId="7" xfId="0" applyNumberFormat="1" applyFont="1" applyFill="1" applyBorder="1" applyAlignment="1">
      <x:alignment vertical="center"/>
    </x:xf>
    <x:xf numFmtId="201" fontId="19" fillId="8" borderId="7" xfId="0" applyNumberFormat="1" applyFont="1" applyFill="1" applyBorder="1" applyAlignment="1">
      <x:alignment vertical="center"/>
    </x:xf>
    <x:xf numFmtId="0" fontId="18" fillId="0" borderId="8" xfId="0" applyNumberFormat="1" applyFont="1" applyFill="1" applyBorder="1" applyAlignment="1">
      <x:alignment vertical="center"/>
    </x:xf>
    <x:xf numFmtId="200" fontId="18" fillId="0" borderId="8" xfId="0" applyNumberFormat="1" applyFont="1" applyFill="1" applyBorder="1" applyAlignment="1">
      <x:alignment vertical="center"/>
    </x:xf>
    <x:xf numFmtId="201" fontId="20" fillId="9" borderId="8" xfId="0" applyNumberFormat="1" applyFont="1" applyFill="1" applyBorder="1" applyAlignment="1">
      <x:alignment vertical="center"/>
    </x:xf>
    <x:xf numFmtId="0" fontId="18" fillId="0" borderId="9" xfId="0" applyNumberFormat="1" applyFont="1" applyFill="1" applyBorder="1" applyAlignment="1">
      <x:alignment vertical="center"/>
    </x:xf>
    <x:xf numFmtId="200" fontId="18" fillId="0" borderId="9" xfId="0" applyNumberFormat="1" applyFont="1" applyFill="1" applyBorder="1" applyAlignment="1">
      <x:alignment vertical="center"/>
    </x:xf>
    <x:xf numFmtId="201" fontId="21" fillId="10" borderId="9" xfId="0" applyNumberFormat="1" applyFont="1" applyFill="1" applyBorder="1" applyAlignment="1">
      <x:alignment vertical="center"/>
    </x:xf>
    <x:xf numFmtId="0" fontId="18" fillId="0" borderId="7" xfId="0" applyNumberFormat="1" applyFont="1" applyFill="1" applyBorder="1" applyAlignment="1">
      <x:alignment vertical="center" wrapText="1"/>
    </x:xf>
    <x:xf numFmtId="0" fontId="18" fillId="0" borderId="8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202" fontId="7" fillId="0" borderId="7" xfId="0" applyNumberFormat="1" applyFont="1" applyFill="1" applyBorder="1" applyAlignment="1">
      <x:alignment vertical="center"/>
    </x:xf>
    <x:xf numFmtId="202" fontId="7" fillId="0" borderId="8" xfId="0" applyNumberFormat="1" applyFont="1" applyFill="1" applyBorder="1" applyAlignment="1">
      <x:alignment vertical="center"/>
    </x:xf>
    <x:xf numFmtId="202" fontId="7" fillId="0" borderId="9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vertical="center"/>
    </x:xf>
    <x:xf numFmtId="203" fontId="7" fillId="0" borderId="8" xfId="0" applyNumberFormat="1" applyFont="1" applyFill="1" applyBorder="1" applyAlignment="1">
      <x:alignment vertical="center"/>
    </x:xf>
    <x:xf numFmtId="203" fontId="7" fillId="0" borderId="9" xfId="0" applyNumberFormat="1" applyFont="1" applyFill="1" applyBorder="1" applyAlignment="1">
      <x:alignment vertical="center"/>
    </x:xf>
    <x:xf numFmtId="202" fontId="18" fillId="0" borderId="7" xfId="0" applyNumberFormat="1" applyFont="1" applyFill="1" applyBorder="1" applyAlignment="1">
      <x:alignment vertical="center"/>
    </x:xf>
    <x:xf numFmtId="201" fontId="18" fillId="0" borderId="7" xfId="0" applyNumberFormat="1" applyFont="1" applyFill="1" applyBorder="1" applyAlignment="1">
      <x:alignment vertical="center"/>
    </x:xf>
    <x:xf numFmtId="203" fontId="18" fillId="0" borderId="7" xfId="0" applyNumberFormat="1" applyFont="1" applyFill="1" applyBorder="1" applyAlignment="1">
      <x:alignment vertical="center"/>
    </x:xf>
    <x:xf numFmtId="202" fontId="18" fillId="0" borderId="8" xfId="0" applyNumberFormat="1" applyFont="1" applyFill="1" applyBorder="1" applyAlignment="1">
      <x:alignment vertical="center"/>
    </x:xf>
    <x:xf numFmtId="201" fontId="18" fillId="0" borderId="8" xfId="0" applyNumberFormat="1" applyFont="1" applyFill="1" applyBorder="1" applyAlignment="1">
      <x:alignment vertical="center"/>
    </x:xf>
    <x:xf numFmtId="203" fontId="18" fillId="0" borderId="8" xfId="0" applyNumberFormat="1" applyFont="1" applyFill="1" applyBorder="1" applyAlignment="1">
      <x:alignment vertical="center"/>
    </x:xf>
    <x:xf numFmtId="202" fontId="18" fillId="0" borderId="9" xfId="0" applyNumberFormat="1" applyFont="1" applyFill="1" applyBorder="1" applyAlignment="1">
      <x:alignment vertical="center"/>
    </x:xf>
    <x:xf numFmtId="201" fontId="18" fillId="0" borderId="9" xfId="0" applyNumberFormat="1" applyFont="1" applyFill="1" applyBorder="1" applyAlignment="1">
      <x:alignment vertical="center"/>
    </x:xf>
    <x:xf numFmtId="203" fontId="18" fillId="0" borderId="9" xfId="0" applyNumberFormat="1" applyFont="1" applyFill="1" applyBorder="1" applyAlignment="1">
      <x:alignment vertical="center"/>
    </x:xf>
    <x:xf numFmtId="0" fontId="22" fillId="5" borderId="0" xfId="0" applyNumberFormat="1" applyFont="1" applyFill="1" applyBorder="1"/>
    <x:xf numFmtId="0" fontId="22" fillId="5" borderId="10" xfId="0" applyNumberFormat="1" applyFont="1" applyFill="1" applyBorder="1"/>
    <x:xf numFmtId="0" fontId="22" fillId="5" borderId="11" xfId="0" applyNumberFormat="1" applyFont="1" applyFill="1" applyBorder="1"/>
    <x:xf numFmtId="0" fontId="22" fillId="5" borderId="10" xfId="0" applyNumberFormat="1" applyFont="1" applyFill="1" applyBorder="1" applyAlignment="1">
      <x:alignment horizontal="right"/>
    </x:xf>
    <x:xf numFmtId="0" fontId="22" fillId="5" borderId="11" xfId="0" applyNumberFormat="1" applyFont="1" applyFill="1" applyBorder="1" applyAlignment="1">
      <x:alignment horizontal="right"/>
    </x:xf>
    <x:xf numFmtId="201" fontId="22" fillId="5" borderId="11" xfId="0" applyNumberFormat="1" applyFont="1" applyFill="1" applyBorder="1" applyAlignment="1">
      <x:alignment horizontal="right"/>
    </x:xf>
    <x:xf numFmtId="0" fontId="23" fillId="5" borderId="10" xfId="0" applyNumberFormat="1" applyFont="1" applyFill="1" applyBorder="1" applyAlignment="1">
      <x:alignment horizontal="right"/>
    </x:xf>
    <x:xf numFmtId="201" fontId="23" fillId="5" borderId="11" xfId="0" applyNumberFormat="1" applyFont="1" applyFill="1" applyBorder="1" applyAlignment="1">
      <x:alignment horizontal="right"/>
    </x:xf>
    <x:xf numFmtId="204" fontId="7" fillId="0" borderId="7" xfId="0" applyNumberFormat="1" applyFont="1" applyFill="1" applyBorder="1" applyAlignment="1">
      <x:alignment vertical="center"/>
    </x:xf>
    <x:xf numFmtId="204" fontId="7" fillId="0" borderId="8" xfId="0" applyNumberFormat="1" applyFont="1" applyFill="1" applyBorder="1" applyAlignment="1">
      <x:alignment vertical="center"/>
    </x:xf>
    <x:xf numFmtId="204" fontId="7" fillId="0" borderId="9" xfId="0" applyNumberFormat="1" applyFont="1" applyFill="1" applyBorder="1" applyAlignment="1">
      <x:alignment vertical="center"/>
    </x:xf>
    <x:xf numFmtId="204" fontId="18" fillId="0" borderId="7" xfId="0" applyNumberFormat="1" applyFont="1" applyFill="1" applyBorder="1" applyAlignment="1">
      <x:alignment vertical="center"/>
    </x:xf>
    <x:xf numFmtId="204" fontId="18" fillId="0" borderId="8" xfId="0" applyNumberFormat="1" applyFont="1" applyFill="1" applyBorder="1" applyAlignment="1">
      <x:alignment vertical="center"/>
    </x:xf>
    <x:xf numFmtId="204" fontId="18" fillId="0" borderId="9" xfId="0" applyNumberFormat="1" applyFont="1" applyFill="1" applyBorder="1" applyAlignment="1">
      <x:alignment vertical="center"/>
    </x:xf>
    <x:xf numFmtId="0" fontId="22" fillId="6" borderId="0" xfId="0" applyNumberFormat="1" applyFont="1" applyFill="1" applyBorder="1"/>
    <x:xf numFmtId="0" fontId="22" fillId="6" borderId="12" xfId="0" applyNumberFormat="1" applyFont="1" applyFill="1" applyBorder="1"/>
    <x:xf numFmtId="200" fontId="22" fillId="6" borderId="12" xfId="0" applyNumberFormat="1" applyFont="1" applyFill="1" applyBorder="1"/>
    <x:xf numFmtId="201" fontId="22" fillId="6" borderId="12" xfId="0" applyNumberFormat="1" applyFont="1" applyFill="1" applyBorder="1"/>
    <x:xf numFmtId="0" fontId="23" fillId="6" borderId="12" xfId="0" applyNumberFormat="1" applyFont="1" applyFill="1" applyBorder="1"/>
    <x:xf numFmtId="200" fontId="23" fillId="6" borderId="12" xfId="0" applyNumberFormat="1" applyFont="1" applyFill="1" applyBorder="1"/>
    <x:xf numFmtId="201" fontId="23" fillId="6" borderId="12" xfId="0" applyNumberFormat="1" applyFont="1" applyFill="1" applyBorder="1"/>
    <x:xf numFmtId="0" fontId="0" fillId="9" borderId="0" xfId="0" applyNumberFormat="1" applyFont="1" applyFill="1" applyBorder="1"/>
    <x:xf numFmtId="0" fontId="24" fillId="9" borderId="0" xfId="0" applyNumberFormat="1" applyFont="1" applyFill="1" applyBorder="1"/>
    <x:xf numFmtId="0" fontId="24" fillId="9" borderId="0" xfId="0" applyNumberFormat="1" applyFont="1" applyFill="1" applyBorder="1" applyAlignment="1">
      <x:alignment horizontal="center"/>
    </x:xf>
    <x:xf numFmtId="0" fontId="25" fillId="9" borderId="0" xfId="0" applyNumberFormat="1" applyFont="1" applyFill="1" applyBorder="1" applyAlignment="1">
      <x:alignment horizontal="center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5299e7e544870" /><Relationship Type="http://schemas.openxmlformats.org/officeDocument/2006/relationships/theme" Target="/xl/theme/theme1.xml" Id="R4fa2964263f04867" /><Relationship Type="http://schemas.openxmlformats.org/officeDocument/2006/relationships/sharedStrings" Target="/xl/sharedStrings.xml" Id="R89792259afcf4c73" /><Relationship Type="http://schemas.openxmlformats.org/officeDocument/2006/relationships/worksheet" Target="/xl/worksheets/sheet1.xml" Id="Rd99d4f839d9b4ed1" /><Relationship Type="http://schemas.openxmlformats.org/officeDocument/2006/relationships/worksheet" Target="/xl/worksheets/sheet2.xml" Id="Rec296d81f985484a" /><Relationship Type="http://schemas.openxmlformats.org/officeDocument/2006/relationships/worksheet" Target="/xl/worksheets/sheet3.xml" Id="Rbfbf0e9afbf44ebd" /><Relationship Type="http://schemas.openxmlformats.org/officeDocument/2006/relationships/worksheet" Target="/xl/worksheets/sheet4.xml" Id="R79c866fb4e694623" /><Relationship Type="http://schemas.openxmlformats.org/officeDocument/2006/relationships/worksheet" Target="/xl/worksheets/sheet5.xml" Id="R2b066c172afa4bab" /><Relationship Type="http://schemas.openxmlformats.org/officeDocument/2006/relationships/worksheet" Target="/xl/worksheets/sheet6.xml" Id="R4fcd8c033634452b" /><Relationship Type="http://schemas.openxmlformats.org/officeDocument/2006/relationships/worksheet" Target="/xl/worksheets/sheet7.xml" Id="Ra1c0fcfbc55745bb" /><Relationship Type="http://schemas.microsoft.com/office/2017/10/relationships/person" Target="/xl/persons/person.xml" Id="R17bac6f18d8749c9" /></Relationships>
</file>

<file path=xl/persons/person.xml><?xml version="1.0" encoding="utf-8"?>
<xltc:personList xmlns:xltc="http://schemas.microsoft.com/office/spreadsheetml/2018/threadedcomments">
  <xltc:person displayName="User" id="{45E72E79-7905-4C59-BE1A-85BC941CED33}"/>
</xltc:personList>
</file>

<file path=xl/tables/table1.xml><?xml version="1.0" encoding="utf-8"?>
<x:table xmlns:x="http://schemas.openxmlformats.org/spreadsheetml/2006/main" id="1" name="DifferenceTable" displayName="DifferenceTable" ref="A1:R149" headerRowCount="1" totalsRowCount="0" totalsRowShown="0">
  <x:tableColumns count="18">
    <x:tableColumn id="1" name="序号"/>
    <x:tableColumn id="2" name="资方账单键"/>
    <x:tableColumn id="3" name="嘉泰账单号"/>
    <x:tableColumn id="4" name="嘉泰进件申请单号"/>
    <x:tableColumn id="5" name="嘉泰放款申请单号"/>
    <x:tableColumn id="6" name="合同编号"/>
    <x:tableColumn id="7" name="客户姓名"/>
    <x:tableColumn id="8" name="实还日期"/>
    <x:tableColumn id="9" name="期数"/>
    <x:tableColumn id="10" name="还款方式"/>
    <x:tableColumn id="11" name="结算方式"/>
    <x:tableColumn id="12" name="嘉泰实收服务费"/>
    <x:tableColumn id="13" name="消费分期申请单号"/>
    <x:tableColumn id="14" name="消费分期账单号"/>
    <x:tableColumn id="15" name="消费分期P0003金额"/>
    <x:tableColumn id="16" name="差额"/>
    <x:tableColumn id="17" name="消费/嘉泰倍数"/>
    <x:tableColumn id="18" name="差异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ilySummaryTable" displayName="DailySummaryTable" ref="A3:C38" headerRowCount="1" totalsRowCount="0" totalsRowShown="0">
  <x:tableColumns count="3">
    <x:tableColumn id="1" name="实还日期"/>
    <x:tableColumn id="2" name="笔数"/>
    <x:tableColumn id="3" name="嘉泰实收服务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ttlementSummaryTable" displayName="SettlementSummaryTable" ref="A3:D8" headerRowCount="1" totalsRowCount="0" totalsRowShown="0">
  <x:tableColumns count="4">
    <x:tableColumn id="1" name="结算方式"/>
    <x:tableColumn id="2" name="笔数"/>
    <x:tableColumn id="3" name="嘉泰实收服务费"/>
    <x:tableColumn id="4" name="金额占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ymentSummaryTable" displayName="PaymentSummaryTable" ref="F3:H5" headerRowCount="1" totalsRowCount="0" totalsRowShown="0">
  <x:tableColumns count="3">
    <x:tableColumn id="1" name="还款方式"/>
    <x:tableColumn id="2" name="笔数"/>
    <x:tableColumn id="3" name="嘉泰实收服务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roupCheckTable" displayName="GroupCheckTable" ref="A3:K38" headerRowCount="1" totalsRowCount="0" totalsRowShown="0">
  <x:tableColumns count="11">
    <x:tableColumn id="1" name="分段"/>
    <x:tableColumn id="2" name="首个资方账单键"/>
    <x:tableColumn id="3" name="末个资方账单键"/>
    <x:tableColumn id="4" name="嘉泰记录数"/>
    <x:tableColumn id="5" name="消费分期P0003数"/>
    <x:tableColumn id="6" name="零值无P0003数"/>
    <x:tableColumn id="7" name="嘉泰服务费"/>
    <x:tableColumn id="8" name="消费分期P0003金额"/>
    <x:tableColumn id="9" name="账单差额"/>
    <x:tableColumn id="10" name="消费分期paid_amount"/>
    <x:tableColumn id="11" name="paid_amount缺口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Table" displayName="SourceTable" ref="A3:F13" headerRowCount="1" totalsRowCount="0" totalsRowShown="0">
  <x:tableColumns count="6">
    <x:tableColumn id="1" name="项目"/>
    <x:tableColumn id="2" name="值"/>
    <x:tableColumn id="3" name="期间/环境"/>
    <x:tableColumn id="4" name="来源类型"/>
    <x:tableColumn id="5" name="来源"/>
    <x:tableColumn id="6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7-30T07:28:15.425" personId="{45E72E79-7905-4C59-BE1A-85BC941CED33}" id="{4F701C9E-1012-88F5-2E51-6DD7BBD27751}">
    <xltc:text>Source: 嘉泰消费分期“6月提单实际还款数据.xlsx”中交易成功、还款类型=资方服务费的全部记录。</xltc:text>
  </xltc:threadedComment>
  <xltc:threadedComment ref="C5" dT="2026-07-30T07:28:15.425" personId="{45E72E79-7905-4C59-BE1A-85BC941CED33}" id="{304D8530-DA66-377D-B36E-C5BF1447F26A}">
    <xltc:text>Source: 消费分期生产只读库 amp_saps.bill_fee_detail，科目 P0003，按 repayment_plan.funder_bill_no 与嘉泰放款申请单号_期数匹配。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70c2fc299404f01" /><Relationship Type="http://schemas.openxmlformats.org/officeDocument/2006/relationships/vmlDrawing" Target="/xl/drawings/vmldrawing.vml" Id="R48a91f50c1484a3d" /><Relationship Type="http://schemas.microsoft.com/office/2017/10/relationships/threadedComment" Target="/xl/threadedcomments/threadedcomment.xml" Id="R60d47fca436144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89087238e64a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3a62bbabf444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b5e24184a44815" /><Relationship Type="http://schemas.openxmlformats.org/officeDocument/2006/relationships/table" Target="/xl/tables/table4.xml" Id="R055553a09839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9031c375b04f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6476a9b1d146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21" hidden="0" customWidth="1"/>
    <x:col min="8" max="8" width="18" hidden="0" customWidth="1"/>
  </x:cols>
  <x:sheetData>
    <x:row r="1" ht="32" customHeight="1">
      <x:c r="A1" s="67" t="str">
        <x:v>嘉泰消费分期 × 消费分期｜资方服务费对账</x:v>
      </x:c>
      <x:c r="B1" s="67" t="str">
        <x:v>嘉泰消费分期 × 消费分期｜资方服务费对账</x:v>
      </x:c>
      <x:c r="C1" s="67" t="str">
        <x:v>嘉泰消费分期 × 消费分期｜资方服务费对账</x:v>
      </x:c>
      <x:c r="D1" s="67" t="str">
        <x:v>嘉泰消费分期 × 消费分期｜资方服务费对账</x:v>
      </x:c>
      <x:c r="E1" s="67" t="str">
        <x:v>嘉泰消费分期 × 消费分期｜资方服务费对账</x:v>
      </x:c>
      <x:c r="F1" s="67" t="str">
        <x:v>嘉泰消费分期 × 消费分期｜资方服务费对账</x:v>
      </x:c>
      <x:c r="G1" s="67" t="str">
        <x:v>嘉泰消费分期 × 消费分期｜资方服务费对账</x:v>
      </x:c>
      <x:c r="H1" s="67" t="str">
        <x:v>嘉泰消费分期 × 消费分期｜资方服务费对账</x:v>
      </x:c>
    </x:row>
    <x:row r="2" ht="24" customHeight="1">
      <x:c r="A2" s="68" t="str">
        <x:v>生产环境（prod）｜master｜源文件范围：2026-05-27 至 2026-06-30｜生成日期：2026-07-30</x:v>
      </x:c>
      <x:c r="B2" s="68"/>
      <x:c r="C2" s="68"/>
      <x:c r="D2" s="68"/>
      <x:c r="E2" s="68"/>
      <x:c r="F2" s="68"/>
      <x:c r="G2" s="68"/>
      <x:c r="H2" s="68"/>
    </x:row>
    <x:row r="3">
      <x:c r="A3" s="69"/>
      <x:c r="B3" s="69"/>
      <x:c r="C3" s="69"/>
      <x:c r="D3" s="69"/>
      <x:c r="E3" s="69"/>
      <x:c r="F3" s="69"/>
      <x:c r="G3" s="69"/>
      <x:c r="H3" s="69"/>
    </x:row>
    <x:row r="4" ht="28" customHeight="1">
      <x:c r="A4" s="70" t="str">
        <x:v>嘉泰服务费明细数</x:v>
      </x:c>
      <x:c r="B4" s="70" t="str">
        <x:v>嘉泰服务费金额</x:v>
      </x:c>
      <x:c r="C4" s="70" t="str">
        <x:v>消费分期P0003金额</x:v>
      </x:c>
      <x:c r="D4" s="70" t="str">
        <x:v>账单金额差额</x:v>
      </x:c>
      <x:c r="E4" s="70" t="str">
        <x:v>差异账单数</x:v>
      </x:c>
      <x:c r="F4" s="70" t="str">
        <x:v>零金额回购记录</x:v>
      </x:c>
      <x:c r="G4" s="70" t="str">
        <x:v>消费分期paid_amount</x:v>
      </x:c>
      <x:c r="H4" s="70" t="str">
        <x:v>paid_amount缺口</x:v>
      </x:c>
    </x:row>
    <x:row r="5" ht="30" customHeight="1">
      <x:c r="A5" s="71" t="n">
        <x:f>'检查'!B4</x:f>
        <x:v>111479</x:v>
      </x:c>
      <x:c r="B5" s="72" t="n">
        <x:f>'日期汇总'!E2</x:f>
        <x:v>4572948.5</x:v>
      </x:c>
      <x:c r="C5" s="72" t="n">
        <x:f>'分段校验'!H39</x:f>
        <x:v>4575564.959999997</x:v>
      </x:c>
      <x:c r="D5" s="73" t="n">
        <x:f>C5-B5</x:f>
        <x:v>2616.459999997169</x:v>
      </x:c>
      <x:c r="E5" s="74" t="n">
        <x:f>COUNTA('差异明细'!A2:A149)</x:f>
        <x:v>148</x:v>
      </x:c>
      <x:c r="F5" s="75" t="n">
        <x:v>7033</x:v>
      </x:c>
      <x:c r="G5" s="72" t="n">
        <x:f>'分段校验'!J39</x:f>
        <x:v>4044046.8099999996</x:v>
      </x:c>
      <x:c r="H5" s="76" t="n">
        <x:f>B5-G5</x:f>
        <x:v>528901.6900000004</x:v>
      </x:c>
    </x:row>
    <x:row r="6">
      <x:c r="A6" s="69"/>
      <x:c r="B6" s="69"/>
      <x:c r="C6" s="69"/>
      <x:c r="D6" s="69"/>
      <x:c r="E6" s="69"/>
      <x:c r="F6" s="69"/>
      <x:c r="G6" s="69"/>
      <x:c r="H6" s="69"/>
    </x:row>
    <x:row r="7">
      <x:c r="A7" s="77" t="str">
        <x:v>核心结论</x:v>
      </x:c>
      <x:c r="B7" s="77"/>
      <x:c r="C7" s="77"/>
      <x:c r="D7" s="77"/>
      <x:c r="E7" s="77"/>
      <x:c r="F7" s="77"/>
      <x:c r="G7" s="77"/>
      <x:c r="H7" s="77"/>
    </x:row>
    <x:row r="8" ht="34" customHeight="1">
      <x:c r="A8" s="78" t="str">
        <x:v>1</x:v>
      </x:c>
      <x:c r="B8" s="79" t="str">
        <x:v>文件中共有 111,479 笔资方服务费记录，金额 4,572,948.50 元；其中 7,033 笔为零金额回购记录。</x:v>
      </x:c>
      <x:c r="C8" s="79" t="str"/>
      <x:c r="D8" s="79" t="str"/>
      <x:c r="E8" s="79" t="str"/>
      <x:c r="F8" s="79" t="str"/>
      <x:c r="G8" s="79" t="str"/>
      <x:c r="H8" s="79" t="str"/>
    </x:row>
    <x:row r="9" ht="34" customHeight="1">
      <x:c r="A9" s="78" t="str">
        <x:v>2</x:v>
      </x:c>
      <x:c r="B9" s="80" t="str">
        <x:v>所有 104,446 笔正金额记录均可通过“嘉泰放款申请单号_期数”关联到消费分期资方账单。</x:v>
      </x:c>
      <x:c r="C9" s="80" t="str"/>
      <x:c r="D9" s="80" t="str"/>
      <x:c r="E9" s="80" t="str"/>
      <x:c r="F9" s="80" t="str"/>
      <x:c r="G9" s="80" t="str"/>
      <x:c r="H9" s="80" t="str"/>
    </x:row>
    <x:row r="10" ht="34" customHeight="1">
      <x:c r="A10" s="78" t="str">
        <x:v>3</x:v>
      </x:c>
      <x:c r="B10" s="80" t="str">
        <x:v>共 148 笔金额不一致：嘉泰实收 2,616.40 元，消费分期 P0003 为 5,232.86 元，消费分期高 2,616.46 元。</x:v>
      </x:c>
      <x:c r="C10" s="80" t="str"/>
      <x:c r="D10" s="80" t="str"/>
      <x:c r="E10" s="80" t="str"/>
      <x:c r="F10" s="80" t="str"/>
      <x:c r="G10" s="80" t="str"/>
      <x:c r="H10" s="80" t="str"/>
    </x:row>
    <x:row r="11" ht="34" customHeight="1">
      <x:c r="A11" s="78" t="str">
        <x:v>4</x:v>
      </x:c>
      <x:c r="B11" s="81" t="str">
        <x:v>消费分期 paid_amount 比嘉泰实收少 528,901.69 元；该字段受代偿、回购等非普通客户支付链路影响，不应直接作为本次账单金额差异。</x:v>
      </x:c>
      <x:c r="C11" s="81" t="str"/>
      <x:c r="D11" s="81" t="str"/>
      <x:c r="E11" s="81" t="str"/>
      <x:c r="F11" s="81" t="str"/>
      <x:c r="G11" s="81" t="str"/>
      <x:c r="H11" s="81" t="str"/>
    </x:row>
    <x:row r="12">
      <x:c r="A12" s="69"/>
      <x:c r="B12" s="69"/>
      <x:c r="C12" s="69"/>
      <x:c r="D12" s="69"/>
      <x:c r="E12" s="69"/>
      <x:c r="F12" s="69"/>
      <x:c r="G12" s="69"/>
      <x:c r="H12" s="69"/>
    </x:row>
    <x:row r="13" ht="28" customHeight="1">
      <x:c r="A13" s="70" t="str">
        <x:v>差异口径</x:v>
      </x:c>
      <x:c r="B13" s="70" t="str">
        <x:v>笔数</x:v>
      </x:c>
      <x:c r="C13" s="70" t="str">
        <x:v>金额（元）</x:v>
      </x:c>
      <x:c r="D13" s="70" t="str">
        <x:v>判断</x:v>
      </x:c>
      <x:c r="E13" s="69"/>
      <x:c r="F13" s="69"/>
      <x:c r="G13" s="69"/>
      <x:c r="H13" s="69"/>
    </x:row>
    <x:row r="14" ht="28" customHeight="1">
      <x:c r="A14" s="91" t="str">
        <x:v>消费分期P0003高于嘉泰实收</x:v>
      </x:c>
      <x:c r="B14" s="83" t="n">
        <x:v>148</x:v>
      </x:c>
      <x:c r="C14" s="84" t="n">
        <x:v>2616.46</x:v>
      </x:c>
      <x:c r="D14" s="82" t="str">
        <x:v>需核查重复/调整原因</x:v>
      </x:c>
      <x:c r="E14" s="69"/>
      <x:c r="F14" s="69"/>
      <x:c r="G14" s="69"/>
      <x:c r="H14" s="69"/>
    </x:row>
    <x:row r="15" ht="28" customHeight="1">
      <x:c r="A15" s="92" t="str">
        <x:v>零金额回购且无P0003科目</x:v>
      </x:c>
      <x:c r="B15" s="86" t="n">
        <x:v>7031</x:v>
      </x:c>
      <x:c r="C15" s="87" t="n">
        <x:v>0</x:v>
      </x:c>
      <x:c r="D15" s="85" t="str">
        <x:v>不影响金额</x:v>
      </x:c>
      <x:c r="E15" s="69"/>
      <x:c r="F15" s="69"/>
      <x:c r="G15" s="69"/>
      <x:c r="H15" s="69"/>
    </x:row>
    <x:row r="16" ht="28" customHeight="1">
      <x:c r="A16" s="93" t="str">
        <x:v>消费分期paid_amount低于嘉泰实收</x:v>
      </x:c>
      <x:c r="B16" s="89" t="n">
        <x:v>111479</x:v>
      </x:c>
      <x:c r="C16" s="90" t="n">
        <x:v>528901.69</x:v>
      </x:c>
      <x:c r="D16" s="88" t="str">
        <x:v>业务状态字段，不作为账单错账</x:v>
      </x:c>
      <x:c r="E16" s="69"/>
      <x:c r="F16" s="69"/>
      <x:c r="G16" s="69"/>
      <x:c r="H16" s="69"/>
    </x:row>
  </x:sheetData>
  <x:mergeCells>
    <x:mergeCell ref="A1:H1"/>
    <x:mergeCell ref="A2:H2"/>
    <x:mergeCell ref="A7:H7"/>
    <x:mergeCell ref="B8:H8"/>
    <x:mergeCell ref="B9:H9"/>
    <x:mergeCell ref="B10:H10"/>
    <x:mergeCell ref="B11:H11"/>
  </x:mergeCells>
  <x:conditionalFormatting sqref="D5:D5">
    <x:cfRule type="cellIs" dxfId="0" priority="1" operator="notEqual">
      <x:formula>0</x:formula>
    </x:cfRule>
  </x:conditionalFormatting>
  <x:pageMargins left="0.7" right="0.7" top="0.75" bottom="0.75" header="0.3" footer="0.3"/>
  <x:legacyDrawing xmlns:r="http://schemas.openxmlformats.org/officeDocument/2006/relationships" r:id="R48a91f50c1484a3d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7" hidden="0" customWidth="1"/>
    <x:col min="3" max="3" width="23" hidden="0" customWidth="1"/>
    <x:col min="4" max="4" width="23" hidden="0" customWidth="1"/>
    <x:col min="5" max="5" width="23" hidden="0" customWidth="1"/>
    <x:col min="6" max="6" width="24" hidden="0" customWidth="1"/>
    <x:col min="7" max="7" width="12" hidden="0" customWidth="1"/>
    <x:col min="8" max="8" width="12" hidden="0" customWidth="1"/>
    <x:col min="9" max="9" width="8" hidden="0" customWidth="1"/>
    <x:col min="10" max="10" width="10" hidden="0" customWidth="1"/>
    <x:col min="11" max="11" width="12" hidden="0" customWidth="1"/>
    <x:col min="12" max="12" width="15" hidden="0" customWidth="1"/>
    <x:col min="13" max="13" width="23" hidden="0" customWidth="1"/>
    <x:col min="14" max="14" width="23" hidden="0" customWidth="1"/>
    <x:col min="15" max="15" width="16" hidden="0" customWidth="1"/>
    <x:col min="16" max="16" width="14" hidden="0" customWidth="1"/>
    <x:col min="17" max="17" width="14" hidden="0" customWidth="1"/>
    <x:col min="18" max="18" width="28" hidden="0" customWidth="1"/>
  </x:cols>
  <x:sheetData>
    <x:row r="1" ht="28" customHeight="1">
      <x:c r="A1" s="70" t="str">
        <x:v>序号</x:v>
      </x:c>
      <x:c r="B1" s="70" t="str">
        <x:v>资方账单键</x:v>
      </x:c>
      <x:c r="C1" s="70" t="str">
        <x:v>嘉泰账单号</x:v>
      </x:c>
      <x:c r="D1" s="70" t="str">
        <x:v>嘉泰进件申请单号</x:v>
      </x:c>
      <x:c r="E1" s="70" t="str">
        <x:v>嘉泰放款申请单号</x:v>
      </x:c>
      <x:c r="F1" s="70" t="str">
        <x:v>合同编号</x:v>
      </x:c>
      <x:c r="G1" s="70" t="str">
        <x:v>客户姓名</x:v>
      </x:c>
      <x:c r="H1" s="70" t="str">
        <x:v>实还日期</x:v>
      </x:c>
      <x:c r="I1" s="70" t="str">
        <x:v>期数</x:v>
      </x:c>
      <x:c r="J1" s="70" t="str">
        <x:v>还款方式</x:v>
      </x:c>
      <x:c r="K1" s="70" t="str">
        <x:v>结算方式</x:v>
      </x:c>
      <x:c r="L1" s="70" t="str">
        <x:v>嘉泰实收服务费</x:v>
      </x:c>
      <x:c r="M1" s="70" t="str">
        <x:v>消费分期申请单号</x:v>
      </x:c>
      <x:c r="N1" s="70" t="str">
        <x:v>消费分期账单号</x:v>
      </x:c>
      <x:c r="O1" s="70" t="str">
        <x:v>消费分期P0003金额</x:v>
      </x:c>
      <x:c r="P1" s="70" t="str">
        <x:v>差额</x:v>
      </x:c>
      <x:c r="Q1" s="70" t="str">
        <x:v>消费/嘉泰倍数</x:v>
      </x:c>
      <x:c r="R1" s="70" t="str">
        <x:v>差异说明</x:v>
      </x:c>
    </x:row>
    <x:row r="2">
      <x:c r="A2" s="82" t="n">
        <x:v>1</x:v>
      </x:c>
      <x:c r="B2" s="82" t="str">
        <x:v>JLZM026031011309076_4</x:v>
      </x:c>
      <x:c r="C2" s="82" t="str">
        <x:v>FXA26031011300600041</x:v>
      </x:c>
      <x:c r="D2" s="82" t="str">
        <x:v>JZM026031011214805</x:v>
      </x:c>
      <x:c r="E2" s="82" t="str">
        <x:v>JLZM026031011309076</x:v>
      </x:c>
      <x:c r="F2" s="82" t="str">
        <x:v>THJTBL-JSSM-BL2026031000169</x:v>
      </x:c>
      <x:c r="G2" s="82" t="str">
        <x:v>刘素琴</x:v>
      </x:c>
      <x:c r="H2" s="100" t="n">
        <x:v>46184</x:v>
      </x:c>
      <x:c r="I2" s="82" t="n">
        <x:v>4</x:v>
      </x:c>
      <x:c r="J2" s="82" t="str">
        <x:v>线下</x:v>
      </x:c>
      <x:c r="K2" s="82" t="str">
        <x:v>回购</x:v>
      </x:c>
      <x:c r="L2" s="101" t="n">
        <x:v>118.64</x:v>
      </x:c>
      <x:c r="M2" s="82" t="str">
        <x:v>ZM026031011210845</x:v>
      </x:c>
      <x:c r="N2" s="82" t="str">
        <x:v>FXA26031011281900041</x:v>
      </x:c>
      <x:c r="O2" s="101" t="n">
        <x:v>237.28</x:v>
      </x:c>
      <x:c r="P2" s="101" t="n">
        <x:f>O2-L2</x:f>
        <x:v>118.64</x:v>
      </x:c>
      <x:c r="Q2" s="102" t="n">
        <x:f>IF(L2=0,"",O2/L2)</x:f>
        <x:v>2</x:v>
      </x:c>
      <x:c r="R2" s="82" t="str">
        <x:v>消费分期P0003账单金额高于嘉泰实收</x:v>
      </x:c>
    </x:row>
    <x:row r="3">
      <x:c r="A3" s="85" t="n">
        <x:v>2</x:v>
      </x:c>
      <x:c r="B3" s="85" t="str">
        <x:v>JLZM026022415458830_4</x:v>
      </x:c>
      <x:c r="C3" s="85" t="str">
        <x:v>FXA26022415450600041</x:v>
      </x:c>
      <x:c r="D3" s="85" t="str">
        <x:v>JZM026022415410315</x:v>
      </x:c>
      <x:c r="E3" s="85" t="str">
        <x:v>JLZM026022415458830</x:v>
      </x:c>
      <x:c r="F3" s="85" t="str">
        <x:v>THJTBL-JSSM-BL2026022400243</x:v>
      </x:c>
      <x:c r="G3" s="85" t="str">
        <x:v>杨一平</x:v>
      </x:c>
      <x:c r="H3" s="103" t="n">
        <x:v>46184</x:v>
      </x:c>
      <x:c r="I3" s="85" t="n">
        <x:v>4</x:v>
      </x:c>
      <x:c r="J3" s="85" t="str">
        <x:v>线下</x:v>
      </x:c>
      <x:c r="K3" s="85" t="str">
        <x:v>回购</x:v>
      </x:c>
      <x:c r="L3" s="104" t="n">
        <x:v>116.31</x:v>
      </x:c>
      <x:c r="M3" s="85" t="str">
        <x:v>ZM026022415415048</x:v>
      </x:c>
      <x:c r="N3" s="85" t="str">
        <x:v>FXA26022415441100041</x:v>
      </x:c>
      <x:c r="O3" s="104" t="n">
        <x:v>232.62</x:v>
      </x:c>
      <x:c r="P3" s="104" t="n">
        <x:f>O3-L3</x:f>
        <x:v>116.31</x:v>
      </x:c>
      <x:c r="Q3" s="105" t="n">
        <x:f>IF(L3=0,"",O3/L3)</x:f>
        <x:v>2</x:v>
      </x:c>
      <x:c r="R3" s="85" t="str">
        <x:v>消费分期P0003账单金额高于嘉泰实收</x:v>
      </x:c>
    </x:row>
    <x:row r="4">
      <x:c r="A4" s="85" t="n">
        <x:v>3</x:v>
      </x:c>
      <x:c r="B4" s="85" t="str">
        <x:v>JLZM026022512512049_4</x:v>
      </x:c>
      <x:c r="C4" s="85" t="str">
        <x:v>FXA26022512510500041</x:v>
      </x:c>
      <x:c r="D4" s="85" t="str">
        <x:v>JZM026022512424200</x:v>
      </x:c>
      <x:c r="E4" s="85" t="str">
        <x:v>JLZM026022512512049</x:v>
      </x:c>
      <x:c r="F4" s="85" t="str">
        <x:v>THJTBL-JSSM-BL2026022500339</x:v>
      </x:c>
      <x:c r="G4" s="85" t="str">
        <x:v>朱萌萌</x:v>
      </x:c>
      <x:c r="H4" s="103" t="n">
        <x:v>46184</x:v>
      </x:c>
      <x:c r="I4" s="85" t="n">
        <x:v>4</x:v>
      </x:c>
      <x:c r="J4" s="85" t="str">
        <x:v>线下</x:v>
      </x:c>
      <x:c r="K4" s="85" t="str">
        <x:v>回购</x:v>
      </x:c>
      <x:c r="L4" s="104" t="n">
        <x:v>62.09</x:v>
      </x:c>
      <x:c r="M4" s="85" t="str">
        <x:v>ZM026022512414417</x:v>
      </x:c>
      <x:c r="N4" s="85" t="str">
        <x:v>FXA26022512481000041</x:v>
      </x:c>
      <x:c r="O4" s="104" t="n">
        <x:v>124.18</x:v>
      </x:c>
      <x:c r="P4" s="104" t="n">
        <x:f>O4-L4</x:f>
        <x:v>62.09</x:v>
      </x:c>
      <x:c r="Q4" s="105" t="n">
        <x:f>IF(L4=0,"",O4/L4)</x:f>
        <x:v>2</x:v>
      </x:c>
      <x:c r="R4" s="85" t="str">
        <x:v>消费分期P0003账单金额高于嘉泰实收</x:v>
      </x:c>
    </x:row>
    <x:row r="5">
      <x:c r="A5" s="85" t="n">
        <x:v>4</x:v>
      </x:c>
      <x:c r="B5" s="85" t="str">
        <x:v>JLZM026022516574891_4</x:v>
      </x:c>
      <x:c r="C5" s="85" t="str">
        <x:v>FXA26022516571100161</x:v>
      </x:c>
      <x:c r="D5" s="85" t="str">
        <x:v>JZM026022516491964</x:v>
      </x:c>
      <x:c r="E5" s="85" t="str">
        <x:v>JLZM026022516574891</x:v>
      </x:c>
      <x:c r="F5" s="85" t="str">
        <x:v>THJTBL-JSSM-BL2026022500625</x:v>
      </x:c>
      <x:c r="G5" s="85" t="str">
        <x:v>屈心怡</x:v>
      </x:c>
      <x:c r="H5" s="103" t="n">
        <x:v>46184</x:v>
      </x:c>
      <x:c r="I5" s="85" t="n">
        <x:v>4</x:v>
      </x:c>
      <x:c r="J5" s="85" t="str">
        <x:v>线下</x:v>
      </x:c>
      <x:c r="K5" s="85" t="str">
        <x:v>回购</x:v>
      </x:c>
      <x:c r="L5" s="104" t="n">
        <x:v>60.01</x:v>
      </x:c>
      <x:c r="M5" s="85" t="str">
        <x:v>ZM026022516498030</x:v>
      </x:c>
      <x:c r="N5" s="85" t="str">
        <x:v>FXA26022516543000041</x:v>
      </x:c>
      <x:c r="O5" s="104" t="n">
        <x:v>120.03</x:v>
      </x:c>
      <x:c r="P5" s="104" t="n">
        <x:f>O5-L5</x:f>
        <x:v>60.02</x:v>
      </x:c>
      <x:c r="Q5" s="105" t="n">
        <x:f>IF(L5=0,"",O5/L5)</x:f>
        <x:v>2.0001666388935178</x:v>
      </x:c>
      <x:c r="R5" s="85" t="str">
        <x:v>消费分期P0003账单金额高于嘉泰实收</x:v>
      </x:c>
    </x:row>
    <x:row r="6">
      <x:c r="A6" s="85" t="n">
        <x:v>5</x:v>
      </x:c>
      <x:c r="B6" s="85" t="str">
        <x:v>JLZM026022514571959_4</x:v>
      </x:c>
      <x:c r="C6" s="85" t="str">
        <x:v>FXA26022514570600041</x:v>
      </x:c>
      <x:c r="D6" s="85" t="str">
        <x:v>JZM026022514535857</x:v>
      </x:c>
      <x:c r="E6" s="85" t="str">
        <x:v>JLZM026022514571959</x:v>
      </x:c>
      <x:c r="F6" s="85" t="str">
        <x:v>THJTBL-JSSM-BL2026022500414</x:v>
      </x:c>
      <x:c r="G6" s="85" t="str">
        <x:v>刘超</x:v>
      </x:c>
      <x:c r="H6" s="103" t="n">
        <x:v>46184</x:v>
      </x:c>
      <x:c r="I6" s="85" t="n">
        <x:v>4</x:v>
      </x:c>
      <x:c r="J6" s="85" t="str">
        <x:v>线下</x:v>
      </x:c>
      <x:c r="K6" s="85" t="str">
        <x:v>回购</x:v>
      </x:c>
      <x:c r="L6" s="104" t="n">
        <x:v>58.89</x:v>
      </x:c>
      <x:c r="M6" s="85" t="str">
        <x:v>ZM026022514534304</x:v>
      </x:c>
      <x:c r="N6" s="85" t="str">
        <x:v>FXA26022514561600041</x:v>
      </x:c>
      <x:c r="O6" s="104" t="n">
        <x:v>117.78</x:v>
      </x:c>
      <x:c r="P6" s="104" t="n">
        <x:f>O6-L6</x:f>
        <x:v>58.89</x:v>
      </x:c>
      <x:c r="Q6" s="105" t="n">
        <x:f>IF(L6=0,"",O6/L6)</x:f>
        <x:v>2</x:v>
      </x:c>
      <x:c r="R6" s="85" t="str">
        <x:v>消费分期P0003账单金额高于嘉泰实收</x:v>
      </x:c>
    </x:row>
    <x:row r="7">
      <x:c r="A7" s="85" t="n">
        <x:v>6</x:v>
      </x:c>
      <x:c r="B7" s="85" t="str">
        <x:v>JLZM026022415397088_4</x:v>
      </x:c>
      <x:c r="C7" s="85" t="str">
        <x:v>FXA26022415390500101</x:v>
      </x:c>
      <x:c r="D7" s="85" t="str">
        <x:v>JZM026022415337689</x:v>
      </x:c>
      <x:c r="E7" s="85" t="str">
        <x:v>JLZM026022415397088</x:v>
      </x:c>
      <x:c r="F7" s="85" t="str">
        <x:v>THJTBL-JSSM-BL2026022400241</x:v>
      </x:c>
      <x:c r="G7" s="85" t="str">
        <x:v>王一然</x:v>
      </x:c>
      <x:c r="H7" s="103" t="n">
        <x:v>46184</x:v>
      </x:c>
      <x:c r="I7" s="85" t="n">
        <x:v>4</x:v>
      </x:c>
      <x:c r="J7" s="85" t="str">
        <x:v>线下</x:v>
      </x:c>
      <x:c r="K7" s="85" t="str">
        <x:v>回购</x:v>
      </x:c>
      <x:c r="L7" s="104" t="n">
        <x:v>48.62</x:v>
      </x:c>
      <x:c r="M7" s="85" t="str">
        <x:v>ZM026022415336195</x:v>
      </x:c>
      <x:c r="N7" s="85" t="str">
        <x:v>FXA26022415382500041</x:v>
      </x:c>
      <x:c r="O7" s="104" t="n">
        <x:v>97.24</x:v>
      </x:c>
      <x:c r="P7" s="104" t="n">
        <x:f>O7-L7</x:f>
        <x:v>48.62</x:v>
      </x:c>
      <x:c r="Q7" s="105" t="n">
        <x:f>IF(L7=0,"",O7/L7)</x:f>
        <x:v>2</x:v>
      </x:c>
      <x:c r="R7" s="85" t="str">
        <x:v>消费分期P0003账单金额高于嘉泰实收</x:v>
      </x:c>
    </x:row>
    <x:row r="8">
      <x:c r="A8" s="85" t="n">
        <x:v>7</x:v>
      </x:c>
      <x:c r="B8" s="85" t="str">
        <x:v>JLZM026022511330487_4</x:v>
      </x:c>
      <x:c r="C8" s="85" t="str">
        <x:v>FXA26022511330500041</x:v>
      </x:c>
      <x:c r="D8" s="85" t="str">
        <x:v>JZM026022511258083</x:v>
      </x:c>
      <x:c r="E8" s="85" t="str">
        <x:v>JLZM026022511330487</x:v>
      </x:c>
      <x:c r="F8" s="85" t="str">
        <x:v>THJTBL-JSSM-BL2026022500268</x:v>
      </x:c>
      <x:c r="G8" s="85" t="str">
        <x:v>许瑞</x:v>
      </x:c>
      <x:c r="H8" s="103" t="n">
        <x:v>46184</x:v>
      </x:c>
      <x:c r="I8" s="85" t="n">
        <x:v>4</x:v>
      </x:c>
      <x:c r="J8" s="85" t="str">
        <x:v>线下</x:v>
      </x:c>
      <x:c r="K8" s="85" t="str">
        <x:v>回购</x:v>
      </x:c>
      <x:c r="L8" s="104" t="n">
        <x:v>47.93</x:v>
      </x:c>
      <x:c r="M8" s="85" t="str">
        <x:v>ZM026022511250656</x:v>
      </x:c>
      <x:c r="N8" s="85" t="str">
        <x:v>FXA26022511302100041</x:v>
      </x:c>
      <x:c r="O8" s="104" t="n">
        <x:v>95.85</x:v>
      </x:c>
      <x:c r="P8" s="104" t="n">
        <x:f>O8-L8</x:f>
        <x:v>47.919999999999995</x:v>
      </x:c>
      <x:c r="Q8" s="105" t="n">
        <x:f>IF(L8=0,"",O8/L8)</x:f>
        <x:v>1.999791362403505</x:v>
      </x:c>
      <x:c r="R8" s="85" t="str">
        <x:v>消费分期P0003账单金额高于嘉泰实收</x:v>
      </x:c>
    </x:row>
    <x:row r="9">
      <x:c r="A9" s="85" t="n">
        <x:v>8</x:v>
      </x:c>
      <x:c r="B9" s="85" t="str">
        <x:v>JLZM026022501303213_4</x:v>
      </x:c>
      <x:c r="C9" s="85" t="str">
        <x:v>FXA26022501301400041</x:v>
      </x:c>
      <x:c r="D9" s="85" t="str">
        <x:v>JZM026022501224314</x:v>
      </x:c>
      <x:c r="E9" s="85" t="str">
        <x:v>JLZM026022501303213</x:v>
      </x:c>
      <x:c r="F9" s="85" t="str">
        <x:v>THJTBL-JSSM-BL2026022500083</x:v>
      </x:c>
      <x:c r="G9" s="85" t="str">
        <x:v>段开艳</x:v>
      </x:c>
      <x:c r="H9" s="103" t="n">
        <x:v>46184</x:v>
      </x:c>
      <x:c r="I9" s="85" t="n">
        <x:v>4</x:v>
      </x:c>
      <x:c r="J9" s="85" t="str">
        <x:v>线下</x:v>
      </x:c>
      <x:c r="K9" s="85" t="str">
        <x:v>回购</x:v>
      </x:c>
      <x:c r="L9" s="104" t="n">
        <x:v>47.85</x:v>
      </x:c>
      <x:c r="M9" s="85" t="str">
        <x:v>ZM026022501224165</x:v>
      </x:c>
      <x:c r="N9" s="85" t="str">
        <x:v>FXA26022501281500041</x:v>
      </x:c>
      <x:c r="O9" s="104" t="n">
        <x:v>95.7</x:v>
      </x:c>
      <x:c r="P9" s="104" t="n">
        <x:f>O9-L9</x:f>
        <x:v>47.85</x:v>
      </x:c>
      <x:c r="Q9" s="105" t="n">
        <x:f>IF(L9=0,"",O9/L9)</x:f>
        <x:v>2</x:v>
      </x:c>
      <x:c r="R9" s="85" t="str">
        <x:v>消费分期P0003账单金额高于嘉泰实收</x:v>
      </x:c>
    </x:row>
    <x:row r="10">
      <x:c r="A10" s="85" t="n">
        <x:v>9</x:v>
      </x:c>
      <x:c r="B10" s="85" t="str">
        <x:v>JLZM026022411092229_4</x:v>
      </x:c>
      <x:c r="C10" s="85" t="str">
        <x:v>FXA26022411090600101</x:v>
      </x:c>
      <x:c r="D10" s="85" t="str">
        <x:v>JZM026022411057854</x:v>
      </x:c>
      <x:c r="E10" s="85" t="str">
        <x:v>JLZM026022411092229</x:v>
      </x:c>
      <x:c r="F10" s="85" t="str">
        <x:v>THJTBL-JSSM-BL2026022400087</x:v>
      </x:c>
      <x:c r="G10" s="85" t="str">
        <x:v>于汶</x:v>
      </x:c>
      <x:c r="H10" s="103" t="n">
        <x:v>46184</x:v>
      </x:c>
      <x:c r="I10" s="85" t="n">
        <x:v>4</x:v>
      </x:c>
      <x:c r="J10" s="85" t="str">
        <x:v>线下</x:v>
      </x:c>
      <x:c r="K10" s="85" t="str">
        <x:v>回购</x:v>
      </x:c>
      <x:c r="L10" s="104" t="n">
        <x:v>47.58</x:v>
      </x:c>
      <x:c r="M10" s="85" t="str">
        <x:v>ZM026022411050632</x:v>
      </x:c>
      <x:c r="N10" s="85" t="str">
        <x:v>FXA26022411081600041</x:v>
      </x:c>
      <x:c r="O10" s="104" t="n">
        <x:v>95.16</x:v>
      </x:c>
      <x:c r="P10" s="104" t="n">
        <x:f>O10-L10</x:f>
        <x:v>47.58</x:v>
      </x:c>
      <x:c r="Q10" s="105" t="n">
        <x:f>IF(L10=0,"",O10/L10)</x:f>
        <x:v>2</x:v>
      </x:c>
      <x:c r="R10" s="85" t="str">
        <x:v>消费分期P0003账单金额高于嘉泰实收</x:v>
      </x:c>
    </x:row>
    <x:row r="11">
      <x:c r="A11" s="85" t="n">
        <x:v>10</x:v>
      </x:c>
      <x:c r="B11" s="85" t="str">
        <x:v>JLZM026022712578107_4</x:v>
      </x:c>
      <x:c r="C11" s="85" t="str">
        <x:v>FXA26022712571300041</x:v>
      </x:c>
      <x:c r="D11" s="85" t="str">
        <x:v>JZM026022712495302</x:v>
      </x:c>
      <x:c r="E11" s="85" t="str">
        <x:v>JLZM026022712578107</x:v>
      </x:c>
      <x:c r="F11" s="85" t="str">
        <x:v>THJTBL-JSSM-BL2026022700111</x:v>
      </x:c>
      <x:c r="G11" s="85" t="str">
        <x:v>陈成</x:v>
      </x:c>
      <x:c r="H11" s="103" t="n">
        <x:v>46184</x:v>
      </x:c>
      <x:c r="I11" s="85" t="n">
        <x:v>4</x:v>
      </x:c>
      <x:c r="J11" s="85" t="str">
        <x:v>线下</x:v>
      </x:c>
      <x:c r="K11" s="85" t="str">
        <x:v>回购</x:v>
      </x:c>
      <x:c r="L11" s="104" t="n">
        <x:v>47.26</x:v>
      </x:c>
      <x:c r="M11" s="85" t="str">
        <x:v>ZM026022712493768</x:v>
      </x:c>
      <x:c r="N11" s="85" t="str">
        <x:v>FXA26022712542400041</x:v>
      </x:c>
      <x:c r="O11" s="104" t="n">
        <x:v>94.52</x:v>
      </x:c>
      <x:c r="P11" s="104" t="n">
        <x:f>O11-L11</x:f>
        <x:v>47.26</x:v>
      </x:c>
      <x:c r="Q11" s="105" t="n">
        <x:f>IF(L11=0,"",O11/L11)</x:f>
        <x:v>2</x:v>
      </x:c>
      <x:c r="R11" s="85" t="str">
        <x:v>消费分期P0003账单金额高于嘉泰实收</x:v>
      </x:c>
    </x:row>
    <x:row r="12">
      <x:c r="A12" s="85" t="n">
        <x:v>11</x:v>
      </x:c>
      <x:c r="B12" s="85" t="str">
        <x:v>JLZM026022811098930_4</x:v>
      </x:c>
      <x:c r="C12" s="85" t="str">
        <x:v>FXA26022811090500041</x:v>
      </x:c>
      <x:c r="D12" s="85" t="str">
        <x:v>JZM026022811066051</x:v>
      </x:c>
      <x:c r="E12" s="85" t="str">
        <x:v>JLZM026022811098930</x:v>
      </x:c>
      <x:c r="F12" s="85" t="str">
        <x:v>THJTBL-JSSM-BL2026022800109</x:v>
      </x:c>
      <x:c r="G12" s="85" t="str">
        <x:v>姚宗盛</x:v>
      </x:c>
      <x:c r="H12" s="103" t="n">
        <x:v>46184</x:v>
      </x:c>
      <x:c r="I12" s="85" t="n">
        <x:v>4</x:v>
      </x:c>
      <x:c r="J12" s="85" t="str">
        <x:v>线下</x:v>
      </x:c>
      <x:c r="K12" s="85" t="str">
        <x:v>回购</x:v>
      </x:c>
      <x:c r="L12" s="104" t="n">
        <x:v>47.26</x:v>
      </x:c>
      <x:c r="M12" s="85" t="str">
        <x:v>ZM026022811057493</x:v>
      </x:c>
      <x:c r="N12" s="85" t="str">
        <x:v>FXA26022811081600041</x:v>
      </x:c>
      <x:c r="O12" s="104" t="n">
        <x:v>94.52</x:v>
      </x:c>
      <x:c r="P12" s="104" t="n">
        <x:f>O12-L12</x:f>
        <x:v>47.26</x:v>
      </x:c>
      <x:c r="Q12" s="105" t="n">
        <x:f>IF(L12=0,"",O12/L12)</x:f>
        <x:v>2</x:v>
      </x:c>
      <x:c r="R12" s="85" t="str">
        <x:v>消费分期P0003账单金额高于嘉泰实收</x:v>
      </x:c>
    </x:row>
    <x:row r="13">
      <x:c r="A13" s="85" t="n">
        <x:v>12</x:v>
      </x:c>
      <x:c r="B13" s="85" t="str">
        <x:v>JLZM026031017092325_4</x:v>
      </x:c>
      <x:c r="C13" s="85" t="str">
        <x:v>FXA26031017090500041</x:v>
      </x:c>
      <x:c r="D13" s="85" t="str">
        <x:v>JZM026031017059091</x:v>
      </x:c>
      <x:c r="E13" s="85" t="str">
        <x:v>JLZM026031017092325</x:v>
      </x:c>
      <x:c r="F13" s="85" t="str">
        <x:v>THJTBL-JSSM-BL2026031000443</x:v>
      </x:c>
      <x:c r="G13" s="85" t="str">
        <x:v>翟旭</x:v>
      </x:c>
      <x:c r="H13" s="103" t="n">
        <x:v>46184</x:v>
      </x:c>
      <x:c r="I13" s="85" t="n">
        <x:v>4</x:v>
      </x:c>
      <x:c r="J13" s="85" t="str">
        <x:v>线下</x:v>
      </x:c>
      <x:c r="K13" s="85" t="str">
        <x:v>回购</x:v>
      </x:c>
      <x:c r="L13" s="104" t="n">
        <x:v>43.47</x:v>
      </x:c>
      <x:c r="M13" s="85" t="str">
        <x:v>ZM026031017056711</x:v>
      </x:c>
      <x:c r="N13" s="85" t="str">
        <x:v>FXA26031017080900041</x:v>
      </x:c>
      <x:c r="O13" s="104" t="n">
        <x:v>86.93</x:v>
      </x:c>
      <x:c r="P13" s="104" t="n">
        <x:f>O13-L13</x:f>
        <x:v>43.46000000000001</x:v>
      </x:c>
      <x:c r="Q13" s="105" t="n">
        <x:f>IF(L13=0,"",O13/L13)</x:f>
        <x:v>1.9997699562916957</x:v>
      </x:c>
      <x:c r="R13" s="85" t="str">
        <x:v>消费分期P0003账单金额高于嘉泰实收</x:v>
      </x:c>
    </x:row>
    <x:row r="14">
      <x:c r="A14" s="85" t="n">
        <x:v>13</x:v>
      </x:c>
      <x:c r="B14" s="85" t="str">
        <x:v>JLZM026022522485043_4</x:v>
      </x:c>
      <x:c r="C14" s="85" t="str">
        <x:v>FXA26022522480500041</x:v>
      </x:c>
      <x:c r="D14" s="85" t="str">
        <x:v>JZM026022522410646</x:v>
      </x:c>
      <x:c r="E14" s="85" t="str">
        <x:v>JLZM026022522485043</x:v>
      </x:c>
      <x:c r="F14" s="85" t="str">
        <x:v>THJTBL-JSSM-BL2026022500901</x:v>
      </x:c>
      <x:c r="G14" s="85" t="str">
        <x:v>马文静</x:v>
      </x:c>
      <x:c r="H14" s="103" t="n">
        <x:v>46184</x:v>
      </x:c>
      <x:c r="I14" s="85" t="n">
        <x:v>4</x:v>
      </x:c>
      <x:c r="J14" s="85" t="str">
        <x:v>线下</x:v>
      </x:c>
      <x:c r="K14" s="85" t="str">
        <x:v>回购</x:v>
      </x:c>
      <x:c r="L14" s="104" t="n">
        <x:v>42.28</x:v>
      </x:c>
      <x:c r="M14" s="85" t="str">
        <x:v>ZM026022522412264</x:v>
      </x:c>
      <x:c r="N14" s="85" t="str">
        <x:v>FXA26022522461500041</x:v>
      </x:c>
      <x:c r="O14" s="104" t="n">
        <x:v>84.56</x:v>
      </x:c>
      <x:c r="P14" s="104" t="n">
        <x:f>O14-L14</x:f>
        <x:v>42.28</x:v>
      </x:c>
      <x:c r="Q14" s="105" t="n">
        <x:f>IF(L14=0,"",O14/L14)</x:f>
        <x:v>2</x:v>
      </x:c>
      <x:c r="R14" s="85" t="str">
        <x:v>消费分期P0003账单金额高于嘉泰实收</x:v>
      </x:c>
    </x:row>
    <x:row r="15">
      <x:c r="A15" s="85" t="n">
        <x:v>14</x:v>
      </x:c>
      <x:c r="B15" s="85" t="str">
        <x:v>JLZM026022522427208_4</x:v>
      </x:c>
      <x:c r="C15" s="85" t="str">
        <x:v>FXA26022522420500041</x:v>
      </x:c>
      <x:c r="D15" s="85" t="str">
        <x:v>JZM026022522335477</x:v>
      </x:c>
      <x:c r="E15" s="85" t="str">
        <x:v>JLZM026022522427208</x:v>
      </x:c>
      <x:c r="F15" s="85" t="str">
        <x:v>THJTBL-JSSM-BL2026022500900</x:v>
      </x:c>
      <x:c r="G15" s="85" t="str">
        <x:v>张勇</x:v>
      </x:c>
      <x:c r="H15" s="103" t="n">
        <x:v>46184</x:v>
      </x:c>
      <x:c r="I15" s="85" t="n">
        <x:v>4</x:v>
      </x:c>
      <x:c r="J15" s="85" t="str">
        <x:v>线下</x:v>
      </x:c>
      <x:c r="K15" s="85" t="str">
        <x:v>回购</x:v>
      </x:c>
      <x:c r="L15" s="104" t="n">
        <x:v>39.24</x:v>
      </x:c>
      <x:c r="M15" s="85" t="str">
        <x:v>ZM026022522333531</x:v>
      </x:c>
      <x:c r="N15" s="85" t="str">
        <x:v>FXA26022522404800041</x:v>
      </x:c>
      <x:c r="O15" s="104" t="n">
        <x:v>78.49</x:v>
      </x:c>
      <x:c r="P15" s="104" t="n">
        <x:f>O15-L15</x:f>
        <x:v>39.24999999999999</x:v>
      </x:c>
      <x:c r="Q15" s="105" t="n">
        <x:f>IF(L15=0,"",O15/L15)</x:f>
        <x:v>2.000254841997961</x:v>
      </x:c>
      <x:c r="R15" s="85" t="str">
        <x:v>消费分期P0003账单金额高于嘉泰实收</x:v>
      </x:c>
    </x:row>
    <x:row r="16">
      <x:c r="A16" s="85" t="n">
        <x:v>15</x:v>
      </x:c>
      <x:c r="B16" s="85" t="str">
        <x:v>JLZM026032112033749_3</x:v>
      </x:c>
      <x:c r="C16" s="85" t="str">
        <x:v>FXA26032112032000031</x:v>
      </x:c>
      <x:c r="D16" s="85" t="str">
        <x:v>JZM026032111559926</x:v>
      </x:c>
      <x:c r="E16" s="85" t="str">
        <x:v>JLZM026032112033749</x:v>
      </x:c>
      <x:c r="F16" s="85" t="str">
        <x:v>THJTBL-JSSM-BL2026032100477</x:v>
      </x:c>
      <x:c r="G16" s="85" t="str">
        <x:v>郝军燕</x:v>
      </x:c>
      <x:c r="H16" s="103" t="n">
        <x:v>46184</x:v>
      </x:c>
      <x:c r="I16" s="85" t="n">
        <x:v>3</x:v>
      </x:c>
      <x:c r="J16" s="85" t="str">
        <x:v>线下</x:v>
      </x:c>
      <x:c r="K16" s="85" t="str">
        <x:v>回购</x:v>
      </x:c>
      <x:c r="L16" s="104" t="n">
        <x:v>37.03</x:v>
      </x:c>
      <x:c r="M16" s="85" t="str">
        <x:v>ZM026032111559455</x:v>
      </x:c>
      <x:c r="N16" s="85" t="str">
        <x:v>FXA26032112005000031</x:v>
      </x:c>
      <x:c r="O16" s="104" t="n">
        <x:v>74.07</x:v>
      </x:c>
      <x:c r="P16" s="104" t="n">
        <x:f>O16-L16</x:f>
        <x:v>37.03999999999999</x:v>
      </x:c>
      <x:c r="Q16" s="105" t="n">
        <x:f>IF(L16=0,"",O16/L16)</x:f>
        <x:v>2.0002700513097484</x:v>
      </x:c>
      <x:c r="R16" s="85" t="str">
        <x:v>消费分期P0003账单金额高于嘉泰实收</x:v>
      </x:c>
    </x:row>
    <x:row r="17">
      <x:c r="A17" s="85" t="n">
        <x:v>16</x:v>
      </x:c>
      <x:c r="B17" s="85" t="str">
        <x:v>JLZM026022622092781_4</x:v>
      </x:c>
      <x:c r="C17" s="85" t="str">
        <x:v>FXA26022622090500041</x:v>
      </x:c>
      <x:c r="D17" s="85" t="str">
        <x:v>JZM026022622022700</x:v>
      </x:c>
      <x:c r="E17" s="85" t="str">
        <x:v>JLZM026022622092781</x:v>
      </x:c>
      <x:c r="F17" s="85" t="str">
        <x:v>THJTBL-JSSM-BL2026022600284</x:v>
      </x:c>
      <x:c r="G17" s="85" t="str">
        <x:v>赖文鑫</x:v>
      </x:c>
      <x:c r="H17" s="103" t="n">
        <x:v>46184</x:v>
      </x:c>
      <x:c r="I17" s="85" t="n">
        <x:v>4</x:v>
      </x:c>
      <x:c r="J17" s="85" t="str">
        <x:v>线下</x:v>
      </x:c>
      <x:c r="K17" s="85" t="str">
        <x:v>回购</x:v>
      </x:c>
      <x:c r="L17" s="104" t="n">
        <x:v>36.89</x:v>
      </x:c>
      <x:c r="M17" s="85" t="str">
        <x:v>ZM026022622010337</x:v>
      </x:c>
      <x:c r="N17" s="85" t="str">
        <x:v>FXA26022622061300041</x:v>
      </x:c>
      <x:c r="O17" s="104" t="n">
        <x:v>73.77</x:v>
      </x:c>
      <x:c r="P17" s="104" t="n">
        <x:f>O17-L17</x:f>
        <x:v>36.879999999999995</x:v>
      </x:c>
      <x:c r="Q17" s="105" t="n">
        <x:f>IF(L17=0,"",O17/L17)</x:f>
        <x:v>1.9997289238275955</x:v>
      </x:c>
      <x:c r="R17" s="85" t="str">
        <x:v>消费分期P0003账单金额高于嘉泰实收</x:v>
      </x:c>
    </x:row>
    <x:row r="18">
      <x:c r="A18" s="85" t="n">
        <x:v>17</x:v>
      </x:c>
      <x:c r="B18" s="85" t="str">
        <x:v>JLZM026031014574541_4</x:v>
      </x:c>
      <x:c r="C18" s="85" t="str">
        <x:v>FXA26031014570800101</x:v>
      </x:c>
      <x:c r="D18" s="85" t="str">
        <x:v>JZM026031014536808</x:v>
      </x:c>
      <x:c r="E18" s="85" t="str">
        <x:v>JLZM026031014574541</x:v>
      </x:c>
      <x:c r="F18" s="85" t="str">
        <x:v>THJTBL-JSSM-BL2026031000301</x:v>
      </x:c>
      <x:c r="G18" s="85" t="str">
        <x:v>王永宏</x:v>
      </x:c>
      <x:c r="H18" s="103" t="n">
        <x:v>46184</x:v>
      </x:c>
      <x:c r="I18" s="85" t="n">
        <x:v>4</x:v>
      </x:c>
      <x:c r="J18" s="85" t="str">
        <x:v>线下</x:v>
      </x:c>
      <x:c r="K18" s="85" t="str">
        <x:v>回购</x:v>
      </x:c>
      <x:c r="L18" s="104" t="n">
        <x:v>34.83</x:v>
      </x:c>
      <x:c r="M18" s="85" t="str">
        <x:v>ZM026031014538325</x:v>
      </x:c>
      <x:c r="N18" s="85" t="str">
        <x:v>FXA26031014561200041</x:v>
      </x:c>
      <x:c r="O18" s="104" t="n">
        <x:v>69.67</x:v>
      </x:c>
      <x:c r="P18" s="104" t="n">
        <x:f>O18-L18</x:f>
        <x:v>34.84</x:v>
      </x:c>
      <x:c r="Q18" s="105" t="n">
        <x:f>IF(L18=0,"",O18/L18)</x:f>
        <x:v>2.000287108814241</x:v>
      </x:c>
      <x:c r="R18" s="85" t="str">
        <x:v>消费分期P0003账单金额高于嘉泰实收</x:v>
      </x:c>
    </x:row>
    <x:row r="19">
      <x:c r="A19" s="85" t="n">
        <x:v>18</x:v>
      </x:c>
      <x:c r="B19" s="85" t="str">
        <x:v>JLZM026031016099042_4</x:v>
      </x:c>
      <x:c r="C19" s="85" t="str">
        <x:v>FXA26031016090400041</x:v>
      </x:c>
      <x:c r="D19" s="85" t="str">
        <x:v>JZM026031016057991</x:v>
      </x:c>
      <x:c r="E19" s="85" t="str">
        <x:v>JLZM026031016099042</x:v>
      </x:c>
      <x:c r="F19" s="85" t="str">
        <x:v>THJTBL-JSSM-BL2026031000354</x:v>
      </x:c>
      <x:c r="G19" s="85" t="str">
        <x:v>廖桂雯</x:v>
      </x:c>
      <x:c r="H19" s="103" t="n">
        <x:v>46184</x:v>
      </x:c>
      <x:c r="I19" s="85" t="n">
        <x:v>4</x:v>
      </x:c>
      <x:c r="J19" s="85" t="str">
        <x:v>线下</x:v>
      </x:c>
      <x:c r="K19" s="85" t="str">
        <x:v>回购</x:v>
      </x:c>
      <x:c r="L19" s="104" t="n">
        <x:v>34.83</x:v>
      </x:c>
      <x:c r="M19" s="85" t="str">
        <x:v>ZM026031016055087</x:v>
      </x:c>
      <x:c r="N19" s="85" t="str">
        <x:v>FXA26031016081400041</x:v>
      </x:c>
      <x:c r="O19" s="104" t="n">
        <x:v>69.67</x:v>
      </x:c>
      <x:c r="P19" s="104" t="n">
        <x:f>O19-L19</x:f>
        <x:v>34.84</x:v>
      </x:c>
      <x:c r="Q19" s="105" t="n">
        <x:f>IF(L19=0,"",O19/L19)</x:f>
        <x:v>2.000287108814241</x:v>
      </x:c>
      <x:c r="R19" s="85" t="str">
        <x:v>消费分期P0003账单金额高于嘉泰实收</x:v>
      </x:c>
    </x:row>
    <x:row r="20">
      <x:c r="A20" s="85" t="n">
        <x:v>19</x:v>
      </x:c>
      <x:c r="B20" s="85" t="str">
        <x:v>JLZM026022518330496_4</x:v>
      </x:c>
      <x:c r="C20" s="85" t="str">
        <x:v>FXA26022518330600101</x:v>
      </x:c>
      <x:c r="D20" s="85" t="str">
        <x:v>JZM026022518298159</x:v>
      </x:c>
      <x:c r="E20" s="85" t="str">
        <x:v>JLZM026022518330496</x:v>
      </x:c>
      <x:c r="F20" s="85" t="str">
        <x:v>THJTBL-JSSM-BL2026022500810</x:v>
      </x:c>
      <x:c r="G20" s="85" t="str">
        <x:v>薛惠兮</x:v>
      </x:c>
      <x:c r="H20" s="103" t="n">
        <x:v>46184</x:v>
      </x:c>
      <x:c r="I20" s="85" t="n">
        <x:v>4</x:v>
      </x:c>
      <x:c r="J20" s="85" t="str">
        <x:v>线下</x:v>
      </x:c>
      <x:c r="K20" s="85" t="str">
        <x:v>回购</x:v>
      </x:c>
      <x:c r="L20" s="104" t="n">
        <x:v>34.64</x:v>
      </x:c>
      <x:c r="M20" s="85" t="str">
        <x:v>ZM026022518293195</x:v>
      </x:c>
      <x:c r="N20" s="85" t="str">
        <x:v>FXA26022518321000041</x:v>
      </x:c>
      <x:c r="O20" s="104" t="n">
        <x:v>69.28</x:v>
      </x:c>
      <x:c r="P20" s="104" t="n">
        <x:f>O20-L20</x:f>
        <x:v>34.64</x:v>
      </x:c>
      <x:c r="Q20" s="105" t="n">
        <x:f>IF(L20=0,"",O20/L20)</x:f>
        <x:v>2</x:v>
      </x:c>
      <x:c r="R20" s="85" t="str">
        <x:v>消费分期P0003账单金额高于嘉泰实收</x:v>
      </x:c>
    </x:row>
    <x:row r="21">
      <x:c r="A21" s="85" t="n">
        <x:v>20</x:v>
      </x:c>
      <x:c r="B21" s="85" t="str">
        <x:v>JLZM026022601219754_4</x:v>
      </x:c>
      <x:c r="C21" s="85" t="str">
        <x:v>FXA26022601210600041</x:v>
      </x:c>
      <x:c r="D21" s="85" t="str">
        <x:v>JZM026022601189949</x:v>
      </x:c>
      <x:c r="E21" s="85" t="str">
        <x:v>JLZM026022601219754</x:v>
      </x:c>
      <x:c r="F21" s="85" t="str">
        <x:v>THJTBL-JSSM-BL2026022600006</x:v>
      </x:c>
      <x:c r="G21" s="85" t="str">
        <x:v>周晴晴</x:v>
      </x:c>
      <x:c r="H21" s="103" t="n">
        <x:v>46184</x:v>
      </x:c>
      <x:c r="I21" s="85" t="n">
        <x:v>4</x:v>
      </x:c>
      <x:c r="J21" s="85" t="str">
        <x:v>线下</x:v>
      </x:c>
      <x:c r="K21" s="85" t="str">
        <x:v>回购</x:v>
      </x:c>
      <x:c r="L21" s="104" t="n">
        <x:v>31.86</x:v>
      </x:c>
      <x:c r="M21" s="85" t="str">
        <x:v>ZM026022601172618</x:v>
      </x:c>
      <x:c r="N21" s="85" t="str">
        <x:v>FXA26022601205200101</x:v>
      </x:c>
      <x:c r="O21" s="104" t="n">
        <x:v>63.71</x:v>
      </x:c>
      <x:c r="P21" s="104" t="n">
        <x:f>O21-L21</x:f>
        <x:v>31.85</x:v>
      </x:c>
      <x:c r="Q21" s="105" t="n">
        <x:f>IF(L21=0,"",O21/L21)</x:f>
        <x:v>1.999686126804771</x:v>
      </x:c>
      <x:c r="R21" s="85" t="str">
        <x:v>消费分期P0003账单金额高于嘉泰实收</x:v>
      </x:c>
    </x:row>
    <x:row r="22">
      <x:c r="A22" s="85" t="n">
        <x:v>21</x:v>
      </x:c>
      <x:c r="B22" s="85" t="str">
        <x:v>JLZM026031020395894_4</x:v>
      </x:c>
      <x:c r="C22" s="85" t="str">
        <x:v>FXA26031020390500041</x:v>
      </x:c>
      <x:c r="D22" s="85" t="str">
        <x:v>JZM026031020331865</x:v>
      </x:c>
      <x:c r="E22" s="85" t="str">
        <x:v>JLZM026031020395894</x:v>
      </x:c>
      <x:c r="F22" s="85" t="str">
        <x:v>THJTBL-JSSM-BL2026031000666</x:v>
      </x:c>
      <x:c r="G22" s="85" t="str">
        <x:v>梁德贵</x:v>
      </x:c>
      <x:c r="H22" s="103" t="n">
        <x:v>46184</x:v>
      </x:c>
      <x:c r="I22" s="85" t="n">
        <x:v>4</x:v>
      </x:c>
      <x:c r="J22" s="85" t="str">
        <x:v>线下</x:v>
      </x:c>
      <x:c r="K22" s="85" t="str">
        <x:v>回购</x:v>
      </x:c>
      <x:c r="L22" s="104" t="n">
        <x:v>30.79</x:v>
      </x:c>
      <x:c r="M22" s="85" t="str">
        <x:v>ZM026031020338219</x:v>
      </x:c>
      <x:c r="N22" s="85" t="str">
        <x:v>FXA26031020381300041</x:v>
      </x:c>
      <x:c r="O22" s="104" t="n">
        <x:v>61.58</x:v>
      </x:c>
      <x:c r="P22" s="104" t="n">
        <x:f>O22-L22</x:f>
        <x:v>30.79</x:v>
      </x:c>
      <x:c r="Q22" s="105" t="n">
        <x:f>IF(L22=0,"",O22/L22)</x:f>
        <x:v>2</x:v>
      </x:c>
      <x:c r="R22" s="85" t="str">
        <x:v>消费分期P0003账单金额高于嘉泰实收</x:v>
      </x:c>
    </x:row>
    <x:row r="23">
      <x:c r="A23" s="85" t="n">
        <x:v>22</x:v>
      </x:c>
      <x:c r="B23" s="85" t="str">
        <x:v>JLZM026031018390073_4</x:v>
      </x:c>
      <x:c r="C23" s="85" t="str">
        <x:v>FXA26031018390700101</x:v>
      </x:c>
      <x:c r="D23" s="85" t="str">
        <x:v>JZM026031018331347</x:v>
      </x:c>
      <x:c r="E23" s="85" t="str">
        <x:v>JLZM026031018390073</x:v>
      </x:c>
      <x:c r="F23" s="85" t="str">
        <x:v>THJTBL-JSSM-BL2026031000555</x:v>
      </x:c>
      <x:c r="G23" s="85" t="str">
        <x:v>苏昭源</x:v>
      </x:c>
      <x:c r="H23" s="103" t="n">
        <x:v>46184</x:v>
      </x:c>
      <x:c r="I23" s="85" t="n">
        <x:v>4</x:v>
      </x:c>
      <x:c r="J23" s="85" t="str">
        <x:v>线下</x:v>
      </x:c>
      <x:c r="K23" s="85" t="str">
        <x:v>回购</x:v>
      </x:c>
      <x:c r="L23" s="104" t="n">
        <x:v>30.31</x:v>
      </x:c>
      <x:c r="M23" s="85" t="str">
        <x:v>ZM026031018333163</x:v>
      </x:c>
      <x:c r="N23" s="85" t="str">
        <x:v>FXA26031018382000041</x:v>
      </x:c>
      <x:c r="O23" s="104" t="n">
        <x:v>60.62</x:v>
      </x:c>
      <x:c r="P23" s="104" t="n">
        <x:f>O23-L23</x:f>
        <x:v>30.31</x:v>
      </x:c>
      <x:c r="Q23" s="105" t="n">
        <x:f>IF(L23=0,"",O23/L23)</x:f>
        <x:v>2</x:v>
      </x:c>
      <x:c r="R23" s="85" t="str">
        <x:v>消费分期P0003账单金额高于嘉泰实收</x:v>
      </x:c>
    </x:row>
    <x:row r="24">
      <x:c r="A24" s="85" t="n">
        <x:v>23</x:v>
      </x:c>
      <x:c r="B24" s="85" t="str">
        <x:v>JLZM026031719096381_3</x:v>
      </x:c>
      <x:c r="C24" s="85" t="str">
        <x:v>FXA26031719091000091</x:v>
      </x:c>
      <x:c r="D24" s="85" t="str">
        <x:v>JZM026031719050297</x:v>
      </x:c>
      <x:c r="E24" s="85" t="str">
        <x:v>JLZM026031719096381</x:v>
      </x:c>
      <x:c r="F24" s="85" t="str">
        <x:v>THJTBL-JSSM-BL2026031701530</x:v>
      </x:c>
      <x:c r="G24" s="85" t="str">
        <x:v>吴钟力</x:v>
      </x:c>
      <x:c r="H24" s="103" t="n">
        <x:v>46184</x:v>
      </x:c>
      <x:c r="I24" s="85" t="n">
        <x:v>3</x:v>
      </x:c>
      <x:c r="J24" s="85" t="str">
        <x:v>线下</x:v>
      </x:c>
      <x:c r="K24" s="85" t="str">
        <x:v>回购</x:v>
      </x:c>
      <x:c r="L24" s="104" t="n">
        <x:v>29.55</x:v>
      </x:c>
      <x:c r="M24" s="85" t="str">
        <x:v>ZM026031719053829</x:v>
      </x:c>
      <x:c r="N24" s="85" t="str">
        <x:v>FXA26031719081700031</x:v>
      </x:c>
      <x:c r="O24" s="104" t="n">
        <x:v>59.11</x:v>
      </x:c>
      <x:c r="P24" s="104" t="n">
        <x:f>O24-L24</x:f>
        <x:v>29.56</x:v>
      </x:c>
      <x:c r="Q24" s="105" t="n">
        <x:f>IF(L24=0,"",O24/L24)</x:f>
        <x:v>2.0003384094754653</x:v>
      </x:c>
      <x:c r="R24" s="85" t="str">
        <x:v>消费分期P0003账单金额高于嘉泰实收</x:v>
      </x:c>
    </x:row>
    <x:row r="25">
      <x:c r="A25" s="85" t="n">
        <x:v>24</x:v>
      </x:c>
      <x:c r="B25" s="85" t="str">
        <x:v>JLZM026031719184449_3</x:v>
      </x:c>
      <x:c r="C25" s="85" t="str">
        <x:v>FXA26031719180900031</x:v>
      </x:c>
      <x:c r="D25" s="85" t="str">
        <x:v>JZM026031719098507</x:v>
      </x:c>
      <x:c r="E25" s="85" t="str">
        <x:v>JLZM026031719184449</x:v>
      </x:c>
      <x:c r="F25" s="85" t="str">
        <x:v>THJTBL-JSSM-BL2026031701536</x:v>
      </x:c>
      <x:c r="G25" s="85" t="str">
        <x:v>吴钟力</x:v>
      </x:c>
      <x:c r="H25" s="103" t="n">
        <x:v>46184</x:v>
      </x:c>
      <x:c r="I25" s="85" t="n">
        <x:v>3</x:v>
      </x:c>
      <x:c r="J25" s="85" t="str">
        <x:v>线下</x:v>
      </x:c>
      <x:c r="K25" s="85" t="str">
        <x:v>回购</x:v>
      </x:c>
      <x:c r="L25" s="104" t="n">
        <x:v>29.55</x:v>
      </x:c>
      <x:c r="M25" s="85" t="str">
        <x:v>ZM026031719095914</x:v>
      </x:c>
      <x:c r="N25" s="85" t="str">
        <x:v>FXA26031719160900031</x:v>
      </x:c>
      <x:c r="O25" s="104" t="n">
        <x:v>59.11</x:v>
      </x:c>
      <x:c r="P25" s="104" t="n">
        <x:f>O25-L25</x:f>
        <x:v>29.56</x:v>
      </x:c>
      <x:c r="Q25" s="105" t="n">
        <x:f>IF(L25=0,"",O25/L25)</x:f>
        <x:v>2.0003384094754653</x:v>
      </x:c>
      <x:c r="R25" s="85" t="str">
        <x:v>消费分期P0003账单金额高于嘉泰实收</x:v>
      </x:c>
    </x:row>
    <x:row r="26">
      <x:c r="A26" s="85" t="n">
        <x:v>25</x:v>
      </x:c>
      <x:c r="B26" s="85" t="str">
        <x:v>JLZM026022515129530_4</x:v>
      </x:c>
      <x:c r="C26" s="85" t="str">
        <x:v>FXA26022515120700041</x:v>
      </x:c>
      <x:c r="D26" s="85" t="str">
        <x:v>JZM026022515052627</x:v>
      </x:c>
      <x:c r="E26" s="85" t="str">
        <x:v>JLZM026022515129530</x:v>
      </x:c>
      <x:c r="F26" s="85" t="str">
        <x:v>THJTBL-JSSM-BL2026022500421</x:v>
      </x:c>
      <x:c r="G26" s="85" t="str">
        <x:v>郑伊菡</x:v>
      </x:c>
      <x:c r="H26" s="103" t="n">
        <x:v>46184</x:v>
      </x:c>
      <x:c r="I26" s="85" t="n">
        <x:v>4</x:v>
      </x:c>
      <x:c r="J26" s="85" t="str">
        <x:v>线下</x:v>
      </x:c>
      <x:c r="K26" s="85" t="str">
        <x:v>回购</x:v>
      </x:c>
      <x:c r="L26" s="104" t="n">
        <x:v>28.23</x:v>
      </x:c>
      <x:c r="M26" s="85" t="str">
        <x:v>ZM026022515055811</x:v>
      </x:c>
      <x:c r="N26" s="85" t="str">
        <x:v>FXA26022515103200041</x:v>
      </x:c>
      <x:c r="O26" s="104" t="n">
        <x:v>56.45</x:v>
      </x:c>
      <x:c r="P26" s="104" t="n">
        <x:f>O26-L26</x:f>
        <x:v>28.220000000000002</x:v>
      </x:c>
      <x:c r="Q26" s="105" t="n">
        <x:f>IF(L26=0,"",O26/L26)</x:f>
        <x:v>1.99964576691463</x:v>
      </x:c>
      <x:c r="R26" s="85" t="str">
        <x:v>消费分期P0003账单金额高于嘉泰实收</x:v>
      </x:c>
    </x:row>
    <x:row r="27">
      <x:c r="A27" s="85" t="n">
        <x:v>26</x:v>
      </x:c>
      <x:c r="B27" s="85" t="str">
        <x:v>JLZM026031020091169_4</x:v>
      </x:c>
      <x:c r="C27" s="85" t="str">
        <x:v>FXA26031020090500101</x:v>
      </x:c>
      <x:c r="D27" s="85" t="str">
        <x:v>JZM026031020017485</x:v>
      </x:c>
      <x:c r="E27" s="85" t="str">
        <x:v>JLZM026031020091169</x:v>
      </x:c>
      <x:c r="F27" s="85" t="str">
        <x:v>THJTBL-JSSM-BL2026031000638</x:v>
      </x:c>
      <x:c r="G27" s="85" t="str">
        <x:v>马浩</x:v>
      </x:c>
      <x:c r="H27" s="103" t="n">
        <x:v>46184</x:v>
      </x:c>
      <x:c r="I27" s="85" t="n">
        <x:v>4</x:v>
      </x:c>
      <x:c r="J27" s="85" t="str">
        <x:v>线下</x:v>
      </x:c>
      <x:c r="K27" s="85" t="str">
        <x:v>回购</x:v>
      </x:c>
      <x:c r="L27" s="104" t="n">
        <x:v>25.77</x:v>
      </x:c>
      <x:c r="M27" s="85" t="str">
        <x:v>ZM026031020016946</x:v>
      </x:c>
      <x:c r="N27" s="85" t="str">
        <x:v>FXA26031020061900041</x:v>
      </x:c>
      <x:c r="O27" s="104" t="n">
        <x:v>51.55</x:v>
      </x:c>
      <x:c r="P27" s="104" t="n">
        <x:f>O27-L27</x:f>
        <x:v>25.779999999999998</x:v>
      </x:c>
      <x:c r="Q27" s="105" t="n">
        <x:f>IF(L27=0,"",O27/L27)</x:f>
        <x:v>2.0003880481179666</x:v>
      </x:c>
      <x:c r="R27" s="85" t="str">
        <x:v>消费分期P0003账单金额高于嘉泰实收</x:v>
      </x:c>
    </x:row>
    <x:row r="28">
      <x:c r="A28" s="85" t="n">
        <x:v>27</x:v>
      </x:c>
      <x:c r="B28" s="85" t="str">
        <x:v>JLZM026022606543529_4</x:v>
      </x:c>
      <x:c r="C28" s="85" t="str">
        <x:v>FXA26022606540500041</x:v>
      </x:c>
      <x:c r="D28" s="85" t="str">
        <x:v>JZM026022606454412</x:v>
      </x:c>
      <x:c r="E28" s="85" t="str">
        <x:v>JLZM026022606543529</x:v>
      </x:c>
      <x:c r="F28" s="85" t="str">
        <x:v>THJTBL-JSSM-BL2026022600017</x:v>
      </x:c>
      <x:c r="G28" s="85" t="str">
        <x:v>丁聪</x:v>
      </x:c>
      <x:c r="H28" s="103" t="n">
        <x:v>46184</x:v>
      </x:c>
      <x:c r="I28" s="85" t="n">
        <x:v>4</x:v>
      </x:c>
      <x:c r="J28" s="85" t="str">
        <x:v>线下</x:v>
      </x:c>
      <x:c r="K28" s="85" t="str">
        <x:v>回购</x:v>
      </x:c>
      <x:c r="L28" s="104" t="n">
        <x:v>25.27</x:v>
      </x:c>
      <x:c r="M28" s="85" t="str">
        <x:v>ZM026022606450475</x:v>
      </x:c>
      <x:c r="N28" s="85" t="str">
        <x:v>FXA26022606521100041</x:v>
      </x:c>
      <x:c r="O28" s="104" t="n">
        <x:v>50.55</x:v>
      </x:c>
      <x:c r="P28" s="104" t="n">
        <x:f>O28-L28</x:f>
        <x:v>25.279999999999998</x:v>
      </x:c>
      <x:c r="Q28" s="105" t="n">
        <x:f>IF(L28=0,"",O28/L28)</x:f>
        <x:v>2.0003957261574987</x:v>
      </x:c>
      <x:c r="R28" s="85" t="str">
        <x:v>消费分期P0003账单金额高于嘉泰实收</x:v>
      </x:c>
    </x:row>
    <x:row r="29">
      <x:c r="A29" s="85" t="n">
        <x:v>28</x:v>
      </x:c>
      <x:c r="B29" s="85" t="str">
        <x:v>JLZM026031316334619_4</x:v>
      </x:c>
      <x:c r="C29" s="85" t="str">
        <x:v>FXA26031316330500041</x:v>
      </x:c>
      <x:c r="D29" s="85" t="str">
        <x:v>JZM026031316251450</x:v>
      </x:c>
      <x:c r="E29" s="85" t="str">
        <x:v>JLZM026031316334619</x:v>
      </x:c>
      <x:c r="F29" s="85" t="str">
        <x:v>THJTBL-JSSM-BL2026031300232</x:v>
      </x:c>
      <x:c r="G29" s="85" t="str">
        <x:v>杨琼玲</x:v>
      </x:c>
      <x:c r="H29" s="103" t="n">
        <x:v>46184</x:v>
      </x:c>
      <x:c r="I29" s="85" t="n">
        <x:v>4</x:v>
      </x:c>
      <x:c r="J29" s="85" t="str">
        <x:v>线下</x:v>
      </x:c>
      <x:c r="K29" s="85" t="str">
        <x:v>回购</x:v>
      </x:c>
      <x:c r="L29" s="104" t="n">
        <x:v>25.17</x:v>
      </x:c>
      <x:c r="M29" s="85" t="str">
        <x:v>ZM026031316254084</x:v>
      </x:c>
      <x:c r="N29" s="85" t="str">
        <x:v>FXA26031316305000041</x:v>
      </x:c>
      <x:c r="O29" s="104" t="n">
        <x:v>50.35</x:v>
      </x:c>
      <x:c r="P29" s="104" t="n">
        <x:f>O29-L29</x:f>
        <x:v>25.18</x:v>
      </x:c>
      <x:c r="Q29" s="105" t="n">
        <x:f>IF(L29=0,"",O29/L29)</x:f>
        <x:v>2.0003972983710767</x:v>
      </x:c>
      <x:c r="R29" s="85" t="str">
        <x:v>消费分期P0003账单金额高于嘉泰实收</x:v>
      </x:c>
    </x:row>
    <x:row r="30">
      <x:c r="A30" s="85" t="n">
        <x:v>29</x:v>
      </x:c>
      <x:c r="B30" s="85" t="str">
        <x:v>JLZM026022711210855_4</x:v>
      </x:c>
      <x:c r="C30" s="85" t="str">
        <x:v>FXA26022711210700041</x:v>
      </x:c>
      <x:c r="D30" s="85" t="str">
        <x:v>JZM026022711177718</x:v>
      </x:c>
      <x:c r="E30" s="85" t="str">
        <x:v>JLZM026022711210855</x:v>
      </x:c>
      <x:c r="F30" s="85" t="str">
        <x:v>THJTBL-JSSM-BL2026022700075</x:v>
      </x:c>
      <x:c r="G30" s="85" t="str">
        <x:v>杨杰</x:v>
      </x:c>
      <x:c r="H30" s="103" t="n">
        <x:v>46184</x:v>
      </x:c>
      <x:c r="I30" s="85" t="n">
        <x:v>4</x:v>
      </x:c>
      <x:c r="J30" s="85" t="str">
        <x:v>线下</x:v>
      </x:c>
      <x:c r="K30" s="85" t="str">
        <x:v>回购</x:v>
      </x:c>
      <x:c r="L30" s="104" t="n">
        <x:v>24.94</x:v>
      </x:c>
      <x:c r="M30" s="85" t="str">
        <x:v>ZM026022711178617</x:v>
      </x:c>
      <x:c r="N30" s="85" t="str">
        <x:v>FXA26022711201300041</x:v>
      </x:c>
      <x:c r="O30" s="104" t="n">
        <x:v>49.88</x:v>
      </x:c>
      <x:c r="P30" s="104" t="n">
        <x:f>O30-L30</x:f>
        <x:v>24.94</x:v>
      </x:c>
      <x:c r="Q30" s="105" t="n">
        <x:f>IF(L30=0,"",O30/L30)</x:f>
        <x:v>2</x:v>
      </x:c>
      <x:c r="R30" s="85" t="str">
        <x:v>消费分期P0003账单金额高于嘉泰实收</x:v>
      </x:c>
    </x:row>
    <x:row r="31">
      <x:c r="A31" s="85" t="n">
        <x:v>30</x:v>
      </x:c>
      <x:c r="B31" s="85" t="str">
        <x:v>JLZM026033019456069_3</x:v>
      </x:c>
      <x:c r="C31" s="85" t="str">
        <x:v>FXA26033019450600031</x:v>
      </x:c>
      <x:c r="D31" s="85" t="str">
        <x:v>JZM026033019374149</x:v>
      </x:c>
      <x:c r="E31" s="85" t="str">
        <x:v>JLZM026033019456069</x:v>
      </x:c>
      <x:c r="F31" s="85" t="str">
        <x:v>THJTBL-JSSM-BL2026033002099</x:v>
      </x:c>
      <x:c r="G31" s="85" t="str">
        <x:v>潘柯宇</x:v>
      </x:c>
      <x:c r="H31" s="103" t="n">
        <x:v>46184</x:v>
      </x:c>
      <x:c r="I31" s="85" t="n">
        <x:v>3</x:v>
      </x:c>
      <x:c r="J31" s="85" t="str">
        <x:v>线下</x:v>
      </x:c>
      <x:c r="K31" s="85" t="str">
        <x:v>回购</x:v>
      </x:c>
      <x:c r="L31" s="104" t="n">
        <x:v>24.82</x:v>
      </x:c>
      <x:c r="M31" s="85" t="str">
        <x:v>ZM026033019373250</x:v>
      </x:c>
      <x:c r="N31" s="85" t="str">
        <x:v>FXA26033019421200031</x:v>
      </x:c>
      <x:c r="O31" s="104" t="n">
        <x:v>49.64</x:v>
      </x:c>
      <x:c r="P31" s="104" t="n">
        <x:f>O31-L31</x:f>
        <x:v>24.82</x:v>
      </x:c>
      <x:c r="Q31" s="105" t="n">
        <x:f>IF(L31=0,"",O31/L31)</x:f>
        <x:v>2</x:v>
      </x:c>
      <x:c r="R31" s="85" t="str">
        <x:v>消费分期P0003账单金额高于嘉泰实收</x:v>
      </x:c>
    </x:row>
    <x:row r="32">
      <x:c r="A32" s="85" t="n">
        <x:v>31</x:v>
      </x:c>
      <x:c r="B32" s="85" t="str">
        <x:v>JLZM026022517331476_4</x:v>
      </x:c>
      <x:c r="C32" s="85" t="str">
        <x:v>FXA26022517331700041</x:v>
      </x:c>
      <x:c r="D32" s="85" t="str">
        <x:v>JZM026022517295503</x:v>
      </x:c>
      <x:c r="E32" s="85" t="str">
        <x:v>JLZM026022517331476</x:v>
      </x:c>
      <x:c r="F32" s="85" t="str">
        <x:v>THJTBL-JSSM-BL2026022500733</x:v>
      </x:c>
      <x:c r="G32" s="85" t="str">
        <x:v>周生任</x:v>
      </x:c>
      <x:c r="H32" s="103" t="n">
        <x:v>46184</x:v>
      </x:c>
      <x:c r="I32" s="85" t="n">
        <x:v>4</x:v>
      </x:c>
      <x:c r="J32" s="85" t="str">
        <x:v>线下</x:v>
      </x:c>
      <x:c r="K32" s="85" t="str">
        <x:v>回购</x:v>
      </x:c>
      <x:c r="L32" s="104" t="n">
        <x:v>24.71</x:v>
      </x:c>
      <x:c r="M32" s="85" t="str">
        <x:v>ZM026022517295031</x:v>
      </x:c>
      <x:c r="N32" s="85" t="str">
        <x:v>FXA26022517321600041</x:v>
      </x:c>
      <x:c r="O32" s="104" t="n">
        <x:v>49.42</x:v>
      </x:c>
      <x:c r="P32" s="104" t="n">
        <x:f>O32-L32</x:f>
        <x:v>24.71</x:v>
      </x:c>
      <x:c r="Q32" s="105" t="n">
        <x:f>IF(L32=0,"",O32/L32)</x:f>
        <x:v>2</x:v>
      </x:c>
      <x:c r="R32" s="85" t="str">
        <x:v>消费分期P0003账单金额高于嘉泰实收</x:v>
      </x:c>
    </x:row>
    <x:row r="33">
      <x:c r="A33" s="85" t="n">
        <x:v>32</x:v>
      </x:c>
      <x:c r="B33" s="85" t="str">
        <x:v>JLZM026022420229484_4</x:v>
      </x:c>
      <x:c r="C33" s="85" t="str">
        <x:v>FXA26022420222100041</x:v>
      </x:c>
      <x:c r="D33" s="85" t="str">
        <x:v>JZM026022420131482</x:v>
      </x:c>
      <x:c r="E33" s="85" t="str">
        <x:v>JLZM026022420229484</x:v>
      </x:c>
      <x:c r="F33" s="85" t="str">
        <x:v>THJTBL-JSSM-BL2026022400372</x:v>
      </x:c>
      <x:c r="G33" s="85" t="str">
        <x:v>王福海</x:v>
      </x:c>
      <x:c r="H33" s="103" t="n">
        <x:v>46184</x:v>
      </x:c>
      <x:c r="I33" s="85" t="n">
        <x:v>4</x:v>
      </x:c>
      <x:c r="J33" s="85" t="str">
        <x:v>线下</x:v>
      </x:c>
      <x:c r="K33" s="85" t="str">
        <x:v>回购</x:v>
      </x:c>
      <x:c r="L33" s="104" t="n">
        <x:v>24.55</x:v>
      </x:c>
      <x:c r="M33" s="85" t="str">
        <x:v>ZM026022420135203</x:v>
      </x:c>
      <x:c r="N33" s="85" t="str">
        <x:v>FXA26022420185500041</x:v>
      </x:c>
      <x:c r="O33" s="104" t="n">
        <x:v>49.09</x:v>
      </x:c>
      <x:c r="P33" s="104" t="n">
        <x:f>O33-L33</x:f>
        <x:v>24.540000000000003</x:v>
      </x:c>
      <x:c r="Q33" s="105" t="n">
        <x:f>IF(L33=0,"",O33/L33)</x:f>
        <x:v>1.99959266802444</x:v>
      </x:c>
      <x:c r="R33" s="85" t="str">
        <x:v>消费分期P0003账单金额高于嘉泰实收</x:v>
      </x:c>
    </x:row>
    <x:row r="34">
      <x:c r="A34" s="85" t="n">
        <x:v>33</x:v>
      </x:c>
      <x:c r="B34" s="85" t="str">
        <x:v>JLZM026123012092901_6</x:v>
      </x:c>
      <x:c r="C34" s="85" t="str">
        <x:v>FX026123012090500061</x:v>
      </x:c>
      <x:c r="D34" s="85" t="str">
        <x:v>JZM026123012024810</x:v>
      </x:c>
      <x:c r="E34" s="85" t="str">
        <x:v>JLZM026123012092901</x:v>
      </x:c>
      <x:c r="F34" s="85" t="str">
        <x:v>THJTBL-JSSM-BL2025123000002</x:v>
      </x:c>
      <x:c r="G34" s="85" t="str">
        <x:v>栾志玮</x:v>
      </x:c>
      <x:c r="H34" s="103" t="n">
        <x:v>46184</x:v>
      </x:c>
      <x:c r="I34" s="85" t="n">
        <x:v>6</x:v>
      </x:c>
      <x:c r="J34" s="85" t="str">
        <x:v>线下</x:v>
      </x:c>
      <x:c r="K34" s="85" t="str">
        <x:v>回购</x:v>
      </x:c>
      <x:c r="L34" s="104" t="n">
        <x:v>24.52</x:v>
      </x:c>
      <x:c r="M34" s="85" t="str">
        <x:v>ZM026123012017899</x:v>
      </x:c>
      <x:c r="N34" s="85" t="str">
        <x:v>FXA25123012061000061</x:v>
      </x:c>
      <x:c r="O34" s="104" t="n">
        <x:v>49.04</x:v>
      </x:c>
      <x:c r="P34" s="104" t="n">
        <x:f>O34-L34</x:f>
        <x:v>24.52</x:v>
      </x:c>
      <x:c r="Q34" s="105" t="n">
        <x:f>IF(L34=0,"",O34/L34)</x:f>
        <x:v>2</x:v>
      </x:c>
      <x:c r="R34" s="85" t="str">
        <x:v>消费分期P0003账单金额高于嘉泰实收</x:v>
      </x:c>
    </x:row>
    <x:row r="35">
      <x:c r="A35" s="85" t="n">
        <x:v>34</x:v>
      </x:c>
      <x:c r="B35" s="85" t="str">
        <x:v>JLZM026031214578741_4</x:v>
      </x:c>
      <x:c r="C35" s="85" t="str">
        <x:v>FXA26031214570500041</x:v>
      </x:c>
      <x:c r="D35" s="85" t="str">
        <x:v>JZM026031214496880</x:v>
      </x:c>
      <x:c r="E35" s="85" t="str">
        <x:v>JLZM026031214578741</x:v>
      </x:c>
      <x:c r="F35" s="85" t="str">
        <x:v>THJTBL-JSSM-BL2026031200238</x:v>
      </x:c>
      <x:c r="G35" s="85" t="str">
        <x:v>田象虹</x:v>
      </x:c>
      <x:c r="H35" s="103" t="n">
        <x:v>46184</x:v>
      </x:c>
      <x:c r="I35" s="85" t="n">
        <x:v>4</x:v>
      </x:c>
      <x:c r="J35" s="85" t="str">
        <x:v>线下</x:v>
      </x:c>
      <x:c r="K35" s="85" t="str">
        <x:v>回购</x:v>
      </x:c>
      <x:c r="L35" s="104" t="n">
        <x:v>24.32</x:v>
      </x:c>
      <x:c r="M35" s="85" t="str">
        <x:v>ZM026031214494947</x:v>
      </x:c>
      <x:c r="N35" s="85" t="str">
        <x:v>FXA26031214540900041</x:v>
      </x:c>
      <x:c r="O35" s="104" t="n">
        <x:v>48.63</x:v>
      </x:c>
      <x:c r="P35" s="104" t="n">
        <x:f>O35-L35</x:f>
        <x:v>24.310000000000002</x:v>
      </x:c>
      <x:c r="Q35" s="105" t="n">
        <x:f>IF(L35=0,"",O35/L35)</x:f>
        <x:v>1.9995888157894737</x:v>
      </x:c>
      <x:c r="R35" s="85" t="str">
        <x:v>消费分期P0003账单金额高于嘉泰实收</x:v>
      </x:c>
    </x:row>
    <x:row r="36">
      <x:c r="A36" s="85" t="n">
        <x:v>35</x:v>
      </x:c>
      <x:c r="B36" s="85" t="str">
        <x:v>JLZM026022321218249_4</x:v>
      </x:c>
      <x:c r="C36" s="85" t="str">
        <x:v>FXA26022321213000041</x:v>
      </x:c>
      <x:c r="D36" s="85" t="str">
        <x:v>JZM026022321132493</x:v>
      </x:c>
      <x:c r="E36" s="85" t="str">
        <x:v>JLZM026022321218249</x:v>
      </x:c>
      <x:c r="F36" s="85" t="str">
        <x:v>THJTBL-JSSM-BL2026022300247</x:v>
      </x:c>
      <x:c r="G36" s="85" t="str">
        <x:v>王兆芸</x:v>
      </x:c>
      <x:c r="H36" s="103" t="n">
        <x:v>46184</x:v>
      </x:c>
      <x:c r="I36" s="85" t="n">
        <x:v>4</x:v>
      </x:c>
      <x:c r="J36" s="85" t="str">
        <x:v>线下</x:v>
      </x:c>
      <x:c r="K36" s="85" t="str">
        <x:v>回购</x:v>
      </x:c>
      <x:c r="L36" s="104" t="n">
        <x:v>22.68</x:v>
      </x:c>
      <x:c r="M36" s="85" t="str">
        <x:v>ZM026022321135139</x:v>
      </x:c>
      <x:c r="N36" s="85" t="str">
        <x:v>FXA26022321180900041</x:v>
      </x:c>
      <x:c r="O36" s="104" t="n">
        <x:v>45.36</x:v>
      </x:c>
      <x:c r="P36" s="104" t="n">
        <x:f>O36-L36</x:f>
        <x:v>22.68</x:v>
      </x:c>
      <x:c r="Q36" s="105" t="n">
        <x:f>IF(L36=0,"",O36/L36)</x:f>
        <x:v>2</x:v>
      </x:c>
      <x:c r="R36" s="85" t="str">
        <x:v>消费分期P0003账单金额高于嘉泰实收</x:v>
      </x:c>
    </x:row>
    <x:row r="37">
      <x:c r="A37" s="85" t="n">
        <x:v>36</x:v>
      </x:c>
      <x:c r="B37" s="85" t="str">
        <x:v>JLZM026031020456596_4</x:v>
      </x:c>
      <x:c r="C37" s="85" t="str">
        <x:v>FXA26031020450500101</x:v>
      </x:c>
      <x:c r="D37" s="85" t="str">
        <x:v>JZM026031020370334</x:v>
      </x:c>
      <x:c r="E37" s="85" t="str">
        <x:v>JLZM026031020456596</x:v>
      </x:c>
      <x:c r="F37" s="85" t="str">
        <x:v>THJTBL-JSSM-BL2026031000669</x:v>
      </x:c>
      <x:c r="G37" s="85" t="str">
        <x:v>梁德贵</x:v>
      </x:c>
      <x:c r="H37" s="103" t="n">
        <x:v>46184</x:v>
      </x:c>
      <x:c r="I37" s="85" t="n">
        <x:v>4</x:v>
      </x:c>
      <x:c r="J37" s="85" t="str">
        <x:v>线下</x:v>
      </x:c>
      <x:c r="K37" s="85" t="str">
        <x:v>回购</x:v>
      </x:c>
      <x:c r="L37" s="104" t="n">
        <x:v>22.55</x:v>
      </x:c>
      <x:c r="M37" s="85" t="str">
        <x:v>ZM026031020370795</x:v>
      </x:c>
      <x:c r="N37" s="85" t="str">
        <x:v>FXA26031020421600041</x:v>
      </x:c>
      <x:c r="O37" s="104" t="n">
        <x:v>45.09</x:v>
      </x:c>
      <x:c r="P37" s="104" t="n">
        <x:f>O37-L37</x:f>
        <x:v>22.540000000000003</x:v>
      </x:c>
      <x:c r="Q37" s="105" t="n">
        <x:f>IF(L37=0,"",O37/L37)</x:f>
        <x:v>1.9995565410199558</x:v>
      </x:c>
      <x:c r="R37" s="85" t="str">
        <x:v>消费分期P0003账单金额高于嘉泰实收</x:v>
      </x:c>
    </x:row>
    <x:row r="38">
      <x:c r="A38" s="85" t="n">
        <x:v>37</x:v>
      </x:c>
      <x:c r="B38" s="85" t="str">
        <x:v>JLZM026031118210580_4</x:v>
      </x:c>
      <x:c r="C38" s="85" t="str">
        <x:v>FXA26031118211300041</x:v>
      </x:c>
      <x:c r="D38" s="85" t="str">
        <x:v>JZM026031118173825</x:v>
      </x:c>
      <x:c r="E38" s="85" t="str">
        <x:v>JLZM026031118210580</x:v>
      </x:c>
      <x:c r="F38" s="85" t="str">
        <x:v>THJTBL-JSSM-BL2026031101002</x:v>
      </x:c>
      <x:c r="G38" s="85" t="str">
        <x:v>陈志豪</x:v>
      </x:c>
      <x:c r="H38" s="103" t="n">
        <x:v>46184</x:v>
      </x:c>
      <x:c r="I38" s="85" t="n">
        <x:v>4</x:v>
      </x:c>
      <x:c r="J38" s="85" t="str">
        <x:v>线下</x:v>
      </x:c>
      <x:c r="K38" s="85" t="str">
        <x:v>回购</x:v>
      </x:c>
      <x:c r="L38" s="104" t="n">
        <x:v>22.37</x:v>
      </x:c>
      <x:c r="M38" s="85" t="str">
        <x:v>ZM026031118179947</x:v>
      </x:c>
      <x:c r="N38" s="85" t="str">
        <x:v>FXA26031118202400041</x:v>
      </x:c>
      <x:c r="O38" s="104" t="n">
        <x:v>44.74</x:v>
      </x:c>
      <x:c r="P38" s="104" t="n">
        <x:f>O38-L38</x:f>
        <x:v>22.37</x:v>
      </x:c>
      <x:c r="Q38" s="105" t="n">
        <x:f>IF(L38=0,"",O38/L38)</x:f>
        <x:v>2</x:v>
      </x:c>
      <x:c r="R38" s="85" t="str">
        <x:v>消费分期P0003账单金额高于嘉泰实收</x:v>
      </x:c>
    </x:row>
    <x:row r="39">
      <x:c r="A39" s="85" t="n">
        <x:v>38</x:v>
      </x:c>
      <x:c r="B39" s="85" t="str">
        <x:v>JLZM026031314330639_4</x:v>
      </x:c>
      <x:c r="C39" s="85" t="str">
        <x:v>FXA26031314331500041</x:v>
      </x:c>
      <x:c r="D39" s="85" t="str">
        <x:v>JZM026031314250382</x:v>
      </x:c>
      <x:c r="E39" s="85" t="str">
        <x:v>JLZM026031314330639</x:v>
      </x:c>
      <x:c r="F39" s="85" t="str">
        <x:v>THJTBL-JSSM-BL2026031300183</x:v>
      </x:c>
      <x:c r="G39" s="85" t="str">
        <x:v>王亚男</x:v>
      </x:c>
      <x:c r="H39" s="103" t="n">
        <x:v>46184</x:v>
      </x:c>
      <x:c r="I39" s="85" t="n">
        <x:v>4</x:v>
      </x:c>
      <x:c r="J39" s="85" t="str">
        <x:v>线下</x:v>
      </x:c>
      <x:c r="K39" s="85" t="str">
        <x:v>回购</x:v>
      </x:c>
      <x:c r="L39" s="104" t="n">
        <x:v>22.34</x:v>
      </x:c>
      <x:c r="M39" s="85" t="str">
        <x:v>ZM026031314253784</x:v>
      </x:c>
      <x:c r="N39" s="85" t="str">
        <x:v>FXA26031314302100041</x:v>
      </x:c>
      <x:c r="O39" s="104" t="n">
        <x:v>44.67</x:v>
      </x:c>
      <x:c r="P39" s="104" t="n">
        <x:f>O39-L39</x:f>
        <x:v>22.330000000000002</x:v>
      </x:c>
      <x:c r="Q39" s="105" t="n">
        <x:f>IF(L39=0,"",O39/L39)</x:f>
        <x:v>1.9995523724261415</x:v>
      </x:c>
      <x:c r="R39" s="85" t="str">
        <x:v>消费分期P0003账单金额高于嘉泰实收</x:v>
      </x:c>
    </x:row>
    <x:row r="40">
      <x:c r="A40" s="85" t="n">
        <x:v>39</x:v>
      </x:c>
      <x:c r="B40" s="85" t="str">
        <x:v>JLZM026031112331792_4</x:v>
      </x:c>
      <x:c r="C40" s="85" t="str">
        <x:v>FXA26031112330800041</x:v>
      </x:c>
      <x:c r="D40" s="85" t="str">
        <x:v>JZM026031112299057</x:v>
      </x:c>
      <x:c r="E40" s="85" t="str">
        <x:v>JLZM026031112331792</x:v>
      </x:c>
      <x:c r="F40" s="85" t="str">
        <x:v>THJTBL-JSSM-BL2026031100240</x:v>
      </x:c>
      <x:c r="G40" s="85" t="str">
        <x:v>张黄根</x:v>
      </x:c>
      <x:c r="H40" s="103" t="n">
        <x:v>46184</x:v>
      </x:c>
      <x:c r="I40" s="85" t="n">
        <x:v>4</x:v>
      </x:c>
      <x:c r="J40" s="85" t="str">
        <x:v>线下</x:v>
      </x:c>
      <x:c r="K40" s="85" t="str">
        <x:v>回购</x:v>
      </x:c>
      <x:c r="L40" s="104" t="n">
        <x:v>21.7</x:v>
      </x:c>
      <x:c r="M40" s="85" t="str">
        <x:v>ZM026031112294139</x:v>
      </x:c>
      <x:c r="N40" s="85" t="str">
        <x:v>FXA26031112323800041</x:v>
      </x:c>
      <x:c r="O40" s="104" t="n">
        <x:v>43.39</x:v>
      </x:c>
      <x:c r="P40" s="104" t="n">
        <x:f>O40-L40</x:f>
        <x:v>21.69</x:v>
      </x:c>
      <x:c r="Q40" s="105" t="n">
        <x:f>IF(L40=0,"",O40/L40)</x:f>
        <x:v>1.9995391705069125</x:v>
      </x:c>
      <x:c r="R40" s="85" t="str">
        <x:v>消费分期P0003账单金额高于嘉泰实收</x:v>
      </x:c>
    </x:row>
    <x:row r="41">
      <x:c r="A41" s="85" t="n">
        <x:v>40</x:v>
      </x:c>
      <x:c r="B41" s="85" t="str">
        <x:v>JLZM026032412150534_3</x:v>
      </x:c>
      <x:c r="C41" s="85" t="str">
        <x:v>FXA26032412151600031</x:v>
      </x:c>
      <x:c r="D41" s="85" t="str">
        <x:v>JZM026032412094364</x:v>
      </x:c>
      <x:c r="E41" s="85" t="str">
        <x:v>JLZM026032412150534</x:v>
      </x:c>
      <x:c r="F41" s="85" t="str">
        <x:v>THJTBL-JSSM-BL2026032401377</x:v>
      </x:c>
      <x:c r="G41" s="85" t="str">
        <x:v>陈代兵</x:v>
      </x:c>
      <x:c r="H41" s="103" t="n">
        <x:v>46184</x:v>
      </x:c>
      <x:c r="I41" s="85" t="n">
        <x:v>3</x:v>
      </x:c>
      <x:c r="J41" s="85" t="str">
        <x:v>线下</x:v>
      </x:c>
      <x:c r="K41" s="85" t="str">
        <x:v>回购</x:v>
      </x:c>
      <x:c r="L41" s="104" t="n">
        <x:v>21.11</x:v>
      </x:c>
      <x:c r="M41" s="85" t="str">
        <x:v>ZM026032412095783</x:v>
      </x:c>
      <x:c r="N41" s="85" t="str">
        <x:v>FXA26032412143500031</x:v>
      </x:c>
      <x:c r="O41" s="104" t="n">
        <x:v>42.22</x:v>
      </x:c>
      <x:c r="P41" s="104" t="n">
        <x:f>O41-L41</x:f>
        <x:v>21.11</x:v>
      </x:c>
      <x:c r="Q41" s="105" t="n">
        <x:f>IF(L41=0,"",O41/L41)</x:f>
        <x:v>2</x:v>
      </x:c>
      <x:c r="R41" s="85" t="str">
        <x:v>消费分期P0003账单金额高于嘉泰实收</x:v>
      </x:c>
    </x:row>
    <x:row r="42">
      <x:c r="A42" s="85" t="n">
        <x:v>41</x:v>
      </x:c>
      <x:c r="B42" s="85" t="str">
        <x:v>JLZM026123015517897_6</x:v>
      </x:c>
      <x:c r="C42" s="85" t="str">
        <x:v>FX026123015510600061</x:v>
      </x:c>
      <x:c r="D42" s="85" t="str">
        <x:v>JZM026123015460256</x:v>
      </x:c>
      <x:c r="E42" s="85" t="str">
        <x:v>JLZM026123015517897</x:v>
      </x:c>
      <x:c r="F42" s="85" t="str">
        <x:v>THJTBL-JSSM-BL2025123000007</x:v>
      </x:c>
      <x:c r="G42" s="85" t="str">
        <x:v>刘京涛</x:v>
      </x:c>
      <x:c r="H42" s="103" t="n">
        <x:v>46184</x:v>
      </x:c>
      <x:c r="I42" s="85" t="n">
        <x:v>6</x:v>
      </x:c>
      <x:c r="J42" s="85" t="str">
        <x:v>线下</x:v>
      </x:c>
      <x:c r="K42" s="85" t="str">
        <x:v>回购</x:v>
      </x:c>
      <x:c r="L42" s="104" t="n">
        <x:v>19.73</x:v>
      </x:c>
      <x:c r="M42" s="85" t="str">
        <x:v>ZM026123015452954</x:v>
      </x:c>
      <x:c r="N42" s="85" t="str">
        <x:v>FXA25123015501000061</x:v>
      </x:c>
      <x:c r="O42" s="104" t="n">
        <x:v>39.45</x:v>
      </x:c>
      <x:c r="P42" s="104" t="n">
        <x:f>O42-L42</x:f>
        <x:v>19.720000000000002</x:v>
      </x:c>
      <x:c r="Q42" s="105" t="n">
        <x:f>IF(L42=0,"",O42/L42)</x:f>
        <x:v>1.9994931576279777</x:v>
      </x:c>
      <x:c r="R42" s="85" t="str">
        <x:v>消费分期P0003账单金额高于嘉泰实收</x:v>
      </x:c>
    </x:row>
    <x:row r="43">
      <x:c r="A43" s="85" t="n">
        <x:v>42</x:v>
      </x:c>
      <x:c r="B43" s="85" t="str">
        <x:v>JLZM026031614092140_3</x:v>
      </x:c>
      <x:c r="C43" s="85" t="str">
        <x:v>FXA26031614090900091</x:v>
      </x:c>
      <x:c r="D43" s="85" t="str">
        <x:v>JZM026031614015587</x:v>
      </x:c>
      <x:c r="E43" s="85" t="str">
        <x:v>JLZM026031614092140</x:v>
      </x:c>
      <x:c r="F43" s="85" t="str">
        <x:v>THJTBL-JSSM-BL2026031601011</x:v>
      </x:c>
      <x:c r="G43" s="85" t="str">
        <x:v>甘雄伟</x:v>
      </x:c>
      <x:c r="H43" s="103" t="n">
        <x:v>46184</x:v>
      </x:c>
      <x:c r="I43" s="85" t="n">
        <x:v>3</x:v>
      </x:c>
      <x:c r="J43" s="85" t="str">
        <x:v>线下</x:v>
      </x:c>
      <x:c r="K43" s="85" t="str">
        <x:v>回购</x:v>
      </x:c>
      <x:c r="L43" s="104" t="n">
        <x:v>19.5</x:v>
      </x:c>
      <x:c r="M43" s="85" t="str">
        <x:v>ZM026031614011488</x:v>
      </x:c>
      <x:c r="N43" s="85" t="str">
        <x:v>FXA26031614063500031</x:v>
      </x:c>
      <x:c r="O43" s="104" t="n">
        <x:v>39</x:v>
      </x:c>
      <x:c r="P43" s="104" t="n">
        <x:f>O43-L43</x:f>
        <x:v>19.5</x:v>
      </x:c>
      <x:c r="Q43" s="105" t="n">
        <x:f>IF(L43=0,"",O43/L43)</x:f>
        <x:v>2</x:v>
      </x:c>
      <x:c r="R43" s="85" t="str">
        <x:v>消费分期P0003账单金额高于嘉泰实收</x:v>
      </x:c>
    </x:row>
    <x:row r="44">
      <x:c r="A44" s="85" t="n">
        <x:v>43</x:v>
      </x:c>
      <x:c r="B44" s="85" t="str">
        <x:v>JLZM026031117219326_4</x:v>
      </x:c>
      <x:c r="C44" s="85" t="str">
        <x:v>FXA26031117213400041</x:v>
      </x:c>
      <x:c r="D44" s="85" t="str">
        <x:v>JZM026031117178564</x:v>
      </x:c>
      <x:c r="E44" s="85" t="str">
        <x:v>JLZM026031117219326</x:v>
      </x:c>
      <x:c r="F44" s="85" t="str">
        <x:v>THJTBL-JSSM-BL2026031100708</x:v>
      </x:c>
      <x:c r="G44" s="85" t="str">
        <x:v>郑小红</x:v>
      </x:c>
      <x:c r="H44" s="103" t="n">
        <x:v>46184</x:v>
      </x:c>
      <x:c r="I44" s="85" t="n">
        <x:v>4</x:v>
      </x:c>
      <x:c r="J44" s="85" t="str">
        <x:v>线下</x:v>
      </x:c>
      <x:c r="K44" s="85" t="str">
        <x:v>回购</x:v>
      </x:c>
      <x:c r="L44" s="104" t="n">
        <x:v>19.4</x:v>
      </x:c>
      <x:c r="M44" s="85" t="str">
        <x:v>ZM026031117173682</x:v>
      </x:c>
      <x:c r="N44" s="85" t="str">
        <x:v>FXA26031117203500041</x:v>
      </x:c>
      <x:c r="O44" s="104" t="n">
        <x:v>38.8</x:v>
      </x:c>
      <x:c r="P44" s="104" t="n">
        <x:f>O44-L44</x:f>
        <x:v>19.4</x:v>
      </x:c>
      <x:c r="Q44" s="105" t="n">
        <x:f>IF(L44=0,"",O44/L44)</x:f>
        <x:v>2</x:v>
      </x:c>
      <x:c r="R44" s="85" t="str">
        <x:v>消费分期P0003账单金额高于嘉泰实收</x:v>
      </x:c>
    </x:row>
    <x:row r="45">
      <x:c r="A45" s="85" t="n">
        <x:v>44</x:v>
      </x:c>
      <x:c r="B45" s="85" t="str">
        <x:v>JLZM026032221301195_3</x:v>
      </x:c>
      <x:c r="C45" s="85" t="str">
        <x:v>FXA26032221300600031</x:v>
      </x:c>
      <x:c r="D45" s="85" t="str">
        <x:v>JZM026032221216502</x:v>
      </x:c>
      <x:c r="E45" s="85" t="str">
        <x:v>JLZM026032221301195</x:v>
      </x:c>
      <x:c r="F45" s="85" t="str">
        <x:v>THJTBL-JSSM-BL2026032201888</x:v>
      </x:c>
      <x:c r="G45" s="85" t="str">
        <x:v>陈代兵</x:v>
      </x:c>
      <x:c r="H45" s="103" t="n">
        <x:v>46184</x:v>
      </x:c>
      <x:c r="I45" s="85" t="n">
        <x:v>3</x:v>
      </x:c>
      <x:c r="J45" s="85" t="str">
        <x:v>线下</x:v>
      </x:c>
      <x:c r="K45" s="85" t="str">
        <x:v>回购</x:v>
      </x:c>
      <x:c r="L45" s="104" t="n">
        <x:v>19.34</x:v>
      </x:c>
      <x:c r="M45" s="85" t="str">
        <x:v>ZM026032221218447</x:v>
      </x:c>
      <x:c r="N45" s="85" t="str">
        <x:v>FXA26032221280900031</x:v>
      </x:c>
      <x:c r="O45" s="104" t="n">
        <x:v>38.68</x:v>
      </x:c>
      <x:c r="P45" s="104" t="n">
        <x:f>O45-L45</x:f>
        <x:v>19.34</x:v>
      </x:c>
      <x:c r="Q45" s="105" t="n">
        <x:f>IF(L45=0,"",O45/L45)</x:f>
        <x:v>2</x:v>
      </x:c>
      <x:c r="R45" s="85" t="str">
        <x:v>消费分期P0003账单金额高于嘉泰实收</x:v>
      </x:c>
    </x:row>
    <x:row r="46">
      <x:c r="A46" s="85" t="n">
        <x:v>45</x:v>
      </x:c>
      <x:c r="B46" s="85" t="str">
        <x:v>JLZM026022421215322_4</x:v>
      </x:c>
      <x:c r="C46" s="85" t="str">
        <x:v>FXA26022421210600041</x:v>
      </x:c>
      <x:c r="D46" s="85" t="str">
        <x:v>JZM026022421139761</x:v>
      </x:c>
      <x:c r="E46" s="85" t="str">
        <x:v>JLZM026022421215322</x:v>
      </x:c>
      <x:c r="F46" s="85" t="str">
        <x:v>THJTBL-JSSM-BL2026022400386</x:v>
      </x:c>
      <x:c r="G46" s="85" t="str">
        <x:v>王磊</x:v>
      </x:c>
      <x:c r="H46" s="103" t="n">
        <x:v>46184</x:v>
      </x:c>
      <x:c r="I46" s="85" t="n">
        <x:v>4</x:v>
      </x:c>
      <x:c r="J46" s="85" t="str">
        <x:v>线下</x:v>
      </x:c>
      <x:c r="K46" s="85" t="str">
        <x:v>回购</x:v>
      </x:c>
      <x:c r="L46" s="104" t="n">
        <x:v>19.21</x:v>
      </x:c>
      <x:c r="M46" s="85" t="str">
        <x:v>ZM026022421133686</x:v>
      </x:c>
      <x:c r="N46" s="85" t="str">
        <x:v>FXA26022421181100041</x:v>
      </x:c>
      <x:c r="O46" s="104" t="n">
        <x:v>38.41</x:v>
      </x:c>
      <x:c r="P46" s="104" t="n">
        <x:f>O46-L46</x:f>
        <x:v>19.199999999999996</x:v>
      </x:c>
      <x:c r="Q46" s="105" t="n">
        <x:f>IF(L46=0,"",O46/L46)</x:f>
        <x:v>1.999479437792816</x:v>
      </x:c>
      <x:c r="R46" s="85" t="str">
        <x:v>消费分期P0003账单金额高于嘉泰实收</x:v>
      </x:c>
    </x:row>
    <x:row r="47">
      <x:c r="A47" s="85" t="n">
        <x:v>46</x:v>
      </x:c>
      <x:c r="B47" s="85" t="str">
        <x:v>JLZM026022511570745_4</x:v>
      </x:c>
      <x:c r="C47" s="85" t="str">
        <x:v>FXA26022511570700161</x:v>
      </x:c>
      <x:c r="D47" s="85" t="str">
        <x:v>JZM026022511532614</x:v>
      </x:c>
      <x:c r="E47" s="85" t="str">
        <x:v>JLZM026022511570745</x:v>
      </x:c>
      <x:c r="F47" s="85" t="str">
        <x:v>THJTBL-JSSM-BL2026022500297</x:v>
      </x:c>
      <x:c r="G47" s="85" t="str">
        <x:v>张靖</x:v>
      </x:c>
      <x:c r="H47" s="103" t="n">
        <x:v>46184</x:v>
      </x:c>
      <x:c r="I47" s="85" t="n">
        <x:v>4</x:v>
      </x:c>
      <x:c r="J47" s="85" t="str">
        <x:v>线下</x:v>
      </x:c>
      <x:c r="K47" s="85" t="str">
        <x:v>回购</x:v>
      </x:c>
      <x:c r="L47" s="104" t="n">
        <x:v>19.21</x:v>
      </x:c>
      <x:c r="M47" s="85" t="str">
        <x:v>ZM026022511535057</x:v>
      </x:c>
      <x:c r="N47" s="85" t="str">
        <x:v>FXA26022511562900041</x:v>
      </x:c>
      <x:c r="O47" s="104" t="n">
        <x:v>38.41</x:v>
      </x:c>
      <x:c r="P47" s="104" t="n">
        <x:f>O47-L47</x:f>
        <x:v>19.199999999999996</x:v>
      </x:c>
      <x:c r="Q47" s="105" t="n">
        <x:f>IF(L47=0,"",O47/L47)</x:f>
        <x:v>1.999479437792816</x:v>
      </x:c>
      <x:c r="R47" s="85" t="str">
        <x:v>消费分期P0003账单金额高于嘉泰实收</x:v>
      </x:c>
    </x:row>
    <x:row r="48">
      <x:c r="A48" s="85" t="n">
        <x:v>47</x:v>
      </x:c>
      <x:c r="B48" s="85" t="str">
        <x:v>JLZM026022512038762_4</x:v>
      </x:c>
      <x:c r="C48" s="85" t="str">
        <x:v>FXA26022512030700101</x:v>
      </x:c>
      <x:c r="D48" s="85" t="str">
        <x:v>JZM026022511578903</x:v>
      </x:c>
      <x:c r="E48" s="85" t="str">
        <x:v>JLZM026022512038762</x:v>
      </x:c>
      <x:c r="F48" s="85" t="str">
        <x:v>THJTBL-JSSM-BL2026022500304</x:v>
      </x:c>
      <x:c r="G48" s="85" t="str">
        <x:v>张靖</x:v>
      </x:c>
      <x:c r="H48" s="103" t="n">
        <x:v>46184</x:v>
      </x:c>
      <x:c r="I48" s="85" t="n">
        <x:v>4</x:v>
      </x:c>
      <x:c r="J48" s="85" t="str">
        <x:v>线下</x:v>
      </x:c>
      <x:c r="K48" s="85" t="str">
        <x:v>回购</x:v>
      </x:c>
      <x:c r="L48" s="104" t="n">
        <x:v>19.17</x:v>
      </x:c>
      <x:c r="M48" s="85" t="str">
        <x:v>ZM026022511574031</x:v>
      </x:c>
      <x:c r="N48" s="85" t="str">
        <x:v>FXA26022512022300041</x:v>
      </x:c>
      <x:c r="O48" s="104" t="n">
        <x:v>38.34</x:v>
      </x:c>
      <x:c r="P48" s="104" t="n">
        <x:f>O48-L48</x:f>
        <x:v>19.17</x:v>
      </x:c>
      <x:c r="Q48" s="105" t="n">
        <x:f>IF(L48=0,"",O48/L48)</x:f>
        <x:v>2</x:v>
      </x:c>
      <x:c r="R48" s="85" t="str">
        <x:v>消费分期P0003账单金额高于嘉泰实收</x:v>
      </x:c>
    </x:row>
    <x:row r="49">
      <x:c r="A49" s="85" t="n">
        <x:v>48</x:v>
      </x:c>
      <x:c r="B49" s="85" t="str">
        <x:v>JLZM026022611421709_4</x:v>
      </x:c>
      <x:c r="C49" s="85" t="str">
        <x:v>FXA26022611420600101</x:v>
      </x:c>
      <x:c r="D49" s="85" t="str">
        <x:v>JZM026022611346234</x:v>
      </x:c>
      <x:c r="E49" s="85" t="str">
        <x:v>JLZM026022611421709</x:v>
      </x:c>
      <x:c r="F49" s="85" t="str">
        <x:v>THJTBL-JSSM-BL2026022600063</x:v>
      </x:c>
      <x:c r="G49" s="85" t="str">
        <x:v>鲁丹旭</x:v>
      </x:c>
      <x:c r="H49" s="103" t="n">
        <x:v>46184</x:v>
      </x:c>
      <x:c r="I49" s="85" t="n">
        <x:v>4</x:v>
      </x:c>
      <x:c r="J49" s="85" t="str">
        <x:v>线下</x:v>
      </x:c>
      <x:c r="K49" s="85" t="str">
        <x:v>回购</x:v>
      </x:c>
      <x:c r="L49" s="104" t="n">
        <x:v>19.17</x:v>
      </x:c>
      <x:c r="M49" s="85" t="str">
        <x:v>ZM026022611338705</x:v>
      </x:c>
      <x:c r="N49" s="85" t="str">
        <x:v>FXA26022611401500041</x:v>
      </x:c>
      <x:c r="O49" s="104" t="n">
        <x:v>38.34</x:v>
      </x:c>
      <x:c r="P49" s="104" t="n">
        <x:f>O49-L49</x:f>
        <x:v>19.17</x:v>
      </x:c>
      <x:c r="Q49" s="105" t="n">
        <x:f>IF(L49=0,"",O49/L49)</x:f>
        <x:v>2</x:v>
      </x:c>
      <x:c r="R49" s="85" t="str">
        <x:v>消费分期P0003账单金额高于嘉泰实收</x:v>
      </x:c>
    </x:row>
    <x:row r="50">
      <x:c r="A50" s="85" t="n">
        <x:v>49</x:v>
      </x:c>
      <x:c r="B50" s="85" t="str">
        <x:v>JLZM026022611421707_4</x:v>
      </x:c>
      <x:c r="C50" s="85" t="str">
        <x:v>FXA26022611420500041</x:v>
      </x:c>
      <x:c r="D50" s="85" t="str">
        <x:v>JZM026022611334531</x:v>
      </x:c>
      <x:c r="E50" s="85" t="str">
        <x:v>JLZM026022611421707</x:v>
      </x:c>
      <x:c r="F50" s="85" t="str">
        <x:v>THJTBL-JSSM-BL2026022600062</x:v>
      </x:c>
      <x:c r="G50" s="85" t="str">
        <x:v>鲁丹旭</x:v>
      </x:c>
      <x:c r="H50" s="103" t="n">
        <x:v>46184</x:v>
      </x:c>
      <x:c r="I50" s="85" t="n">
        <x:v>4</x:v>
      </x:c>
      <x:c r="J50" s="85" t="str">
        <x:v>线下</x:v>
      </x:c>
      <x:c r="K50" s="85" t="str">
        <x:v>回购</x:v>
      </x:c>
      <x:c r="L50" s="104" t="n">
        <x:v>18.76</x:v>
      </x:c>
      <x:c r="M50" s="85" t="str">
        <x:v>ZM026022611338704</x:v>
      </x:c>
      <x:c r="N50" s="85" t="str">
        <x:v>FXA26022611401400041</x:v>
      </x:c>
      <x:c r="O50" s="104" t="n">
        <x:v>37.53</x:v>
      </x:c>
      <x:c r="P50" s="104" t="n">
        <x:f>O50-L50</x:f>
        <x:v>18.77</x:v>
      </x:c>
      <x:c r="Q50" s="105" t="n">
        <x:f>IF(L50=0,"",O50/L50)</x:f>
        <x:v>2.0005330490405115</x:v>
      </x:c>
      <x:c r="R50" s="85" t="str">
        <x:v>消费分期P0003账单金额高于嘉泰实收</x:v>
      </x:c>
    </x:row>
    <x:row r="51">
      <x:c r="A51" s="85" t="n">
        <x:v>50</x:v>
      </x:c>
      <x:c r="B51" s="85" t="str">
        <x:v>JLZM026022722546685_4</x:v>
      </x:c>
      <x:c r="C51" s="85" t="str">
        <x:v>FXA26022722540500041</x:v>
      </x:c>
      <x:c r="D51" s="85" t="str">
        <x:v>JZM026022722452527</x:v>
      </x:c>
      <x:c r="E51" s="85" t="str">
        <x:v>JLZM026022722546685</x:v>
      </x:c>
      <x:c r="F51" s="85" t="str">
        <x:v>THJTBL-JSSM-BL2026022700310</x:v>
      </x:c>
      <x:c r="G51" s="85" t="str">
        <x:v>胡宇</x:v>
      </x:c>
      <x:c r="H51" s="103" t="n">
        <x:v>46184</x:v>
      </x:c>
      <x:c r="I51" s="85" t="n">
        <x:v>4</x:v>
      </x:c>
      <x:c r="J51" s="85" t="str">
        <x:v>线下</x:v>
      </x:c>
      <x:c r="K51" s="85" t="str">
        <x:v>回购</x:v>
      </x:c>
      <x:c r="L51" s="104" t="n">
        <x:v>18.39</x:v>
      </x:c>
      <x:c r="M51" s="85" t="str">
        <x:v>ZM026022722450635</x:v>
      </x:c>
      <x:c r="N51" s="85" t="str">
        <x:v>FXA26022722521300041</x:v>
      </x:c>
      <x:c r="O51" s="104" t="n">
        <x:v>36.78</x:v>
      </x:c>
      <x:c r="P51" s="104" t="n">
        <x:f>O51-L51</x:f>
        <x:v>18.39</x:v>
      </x:c>
      <x:c r="Q51" s="105" t="n">
        <x:f>IF(L51=0,"",O51/L51)</x:f>
        <x:v>2</x:v>
      </x:c>
      <x:c r="R51" s="85" t="str">
        <x:v>消费分期P0003账单金额高于嘉泰实收</x:v>
      </x:c>
    </x:row>
    <x:row r="52">
      <x:c r="A52" s="85" t="n">
        <x:v>51</x:v>
      </x:c>
      <x:c r="B52" s="85" t="str">
        <x:v>JLZM026022518330495_4</x:v>
      </x:c>
      <x:c r="C52" s="85" t="str">
        <x:v>FXA26022518330600041</x:v>
      </x:c>
      <x:c r="D52" s="85" t="str">
        <x:v>JZM026022518250556</x:v>
      </x:c>
      <x:c r="E52" s="85" t="str">
        <x:v>JLZM026022518330495</x:v>
      </x:c>
      <x:c r="F52" s="85" t="str">
        <x:v>THJTBL-JSSM-BL2026022500808</x:v>
      </x:c>
      <x:c r="G52" s="85" t="str">
        <x:v>薛惠兮</x:v>
      </x:c>
      <x:c r="H52" s="103" t="n">
        <x:v>46184</x:v>
      </x:c>
      <x:c r="I52" s="85" t="n">
        <x:v>4</x:v>
      </x:c>
      <x:c r="J52" s="85" t="str">
        <x:v>线下</x:v>
      </x:c>
      <x:c r="K52" s="85" t="str">
        <x:v>回购</x:v>
      </x:c>
      <x:c r="L52" s="104" t="n">
        <x:v>18.33</x:v>
      </x:c>
      <x:c r="M52" s="85" t="str">
        <x:v>ZM026022518253144</x:v>
      </x:c>
      <x:c r="N52" s="85" t="str">
        <x:v>FXA26022518304900041</x:v>
      </x:c>
      <x:c r="O52" s="104" t="n">
        <x:v>36.67</x:v>
      </x:c>
      <x:c r="P52" s="104" t="n">
        <x:f>O52-L52</x:f>
        <x:v>18.340000000000003</x:v>
      </x:c>
      <x:c r="Q52" s="105" t="n">
        <x:f>IF(L52=0,"",O52/L52)</x:f>
        <x:v>2.0005455537370436</x:v>
      </x:c>
      <x:c r="R52" s="85" t="str">
        <x:v>消费分期P0003账单金额高于嘉泰实收</x:v>
      </x:c>
    </x:row>
    <x:row r="53">
      <x:c r="A53" s="85" t="n">
        <x:v>52</x:v>
      </x:c>
      <x:c r="B53" s="85" t="str">
        <x:v>JLZM026022413278758_4</x:v>
      </x:c>
      <x:c r="C53" s="85" t="str">
        <x:v>FXA26022413270500161</x:v>
      </x:c>
      <x:c r="D53" s="85" t="str">
        <x:v>JZM026022413216560</x:v>
      </x:c>
      <x:c r="E53" s="85" t="str">
        <x:v>JLZM026022413278758</x:v>
      </x:c>
      <x:c r="F53" s="85" t="str">
        <x:v>THJTBL-JSSM-BL2026022400190</x:v>
      </x:c>
      <x:c r="G53" s="85" t="str">
        <x:v>于蛟龙</x:v>
      </x:c>
      <x:c r="H53" s="103" t="n">
        <x:v>46184</x:v>
      </x:c>
      <x:c r="I53" s="85" t="n">
        <x:v>4</x:v>
      </x:c>
      <x:c r="J53" s="85" t="str">
        <x:v>线下</x:v>
      </x:c>
      <x:c r="K53" s="85" t="str">
        <x:v>回购</x:v>
      </x:c>
      <x:c r="L53" s="104" t="n">
        <x:v>18.25</x:v>
      </x:c>
      <x:c r="M53" s="85" t="str">
        <x:v>ZM026022413217381</x:v>
      </x:c>
      <x:c r="N53" s="85" t="str">
        <x:v>FXA26022413262700041</x:v>
      </x:c>
      <x:c r="O53" s="104" t="n">
        <x:v>36.49</x:v>
      </x:c>
      <x:c r="P53" s="104" t="n">
        <x:f>O53-L53</x:f>
        <x:v>18.240000000000002</x:v>
      </x:c>
      <x:c r="Q53" s="105" t="n">
        <x:f>IF(L53=0,"",O53/L53)</x:f>
        <x:v>1.9994520547945207</x:v>
      </x:c>
      <x:c r="R53" s="85" t="str">
        <x:v>消费分期P0003账单金额高于嘉泰实收</x:v>
      </x:c>
    </x:row>
    <x:row r="54">
      <x:c r="A54" s="85" t="n">
        <x:v>53</x:v>
      </x:c>
      <x:c r="B54" s="85" t="str">
        <x:v>JLZM026022416573148_4</x:v>
      </x:c>
      <x:c r="C54" s="85" t="str">
        <x:v>FXA26022416570600041</x:v>
      </x:c>
      <x:c r="D54" s="85" t="str">
        <x:v>JZM026022416532776</x:v>
      </x:c>
      <x:c r="E54" s="85" t="str">
        <x:v>JLZM026022416573148</x:v>
      </x:c>
      <x:c r="F54" s="85" t="str">
        <x:v>THJTBL-JSSM-BL2026022400286</x:v>
      </x:c>
      <x:c r="G54" s="85" t="str">
        <x:v>安雪娇</x:v>
      </x:c>
      <x:c r="H54" s="103" t="n">
        <x:v>46184</x:v>
      </x:c>
      <x:c r="I54" s="85" t="n">
        <x:v>4</x:v>
      </x:c>
      <x:c r="J54" s="85" t="str">
        <x:v>线下</x:v>
      </x:c>
      <x:c r="K54" s="85" t="str">
        <x:v>回购</x:v>
      </x:c>
      <x:c r="L54" s="104" t="n">
        <x:v>17.82</x:v>
      </x:c>
      <x:c r="M54" s="85" t="str">
        <x:v>ZM026022416533931</x:v>
      </x:c>
      <x:c r="N54" s="85" t="str">
        <x:v>FXA26022416562500041</x:v>
      </x:c>
      <x:c r="O54" s="104" t="n">
        <x:v>35.64</x:v>
      </x:c>
      <x:c r="P54" s="104" t="n">
        <x:f>O54-L54</x:f>
        <x:v>17.82</x:v>
      </x:c>
      <x:c r="Q54" s="105" t="n">
        <x:f>IF(L54=0,"",O54/L54)</x:f>
        <x:v>2</x:v>
      </x:c>
      <x:c r="R54" s="85" t="str">
        <x:v>消费分期P0003账单金额高于嘉泰实收</x:v>
      </x:c>
    </x:row>
    <x:row r="55">
      <x:c r="A55" s="85" t="n">
        <x:v>54</x:v>
      </x:c>
      <x:c r="B55" s="85" t="str">
        <x:v>JLZM026031121428223_4</x:v>
      </x:c>
      <x:c r="C55" s="85" t="str">
        <x:v>FXA26031121420600101</x:v>
      </x:c>
      <x:c r="D55" s="85" t="str">
        <x:v>JZM026031121331746</x:v>
      </x:c>
      <x:c r="E55" s="85" t="str">
        <x:v>JLZM026031121428223</x:v>
      </x:c>
      <x:c r="F55" s="85" t="str">
        <x:v>THJTBL-JSSM-BL2026031101478</x:v>
      </x:c>
      <x:c r="G55" s="85" t="str">
        <x:v>魏倩倩</x:v>
      </x:c>
      <x:c r="H55" s="103" t="n">
        <x:v>46184</x:v>
      </x:c>
      <x:c r="I55" s="85" t="n">
        <x:v>4</x:v>
      </x:c>
      <x:c r="J55" s="85" t="str">
        <x:v>线下</x:v>
      </x:c>
      <x:c r="K55" s="85" t="str">
        <x:v>回购</x:v>
      </x:c>
      <x:c r="L55" s="104" t="n">
        <x:v>17.31</x:v>
      </x:c>
      <x:c r="M55" s="85" t="str">
        <x:v>ZM026031121338526</x:v>
      </x:c>
      <x:c r="N55" s="85" t="str">
        <x:v>FXA26031121401200041</x:v>
      </x:c>
      <x:c r="O55" s="104" t="n">
        <x:v>34.62</x:v>
      </x:c>
      <x:c r="P55" s="104" t="n">
        <x:f>O55-L55</x:f>
        <x:v>17.31</x:v>
      </x:c>
      <x:c r="Q55" s="105" t="n">
        <x:f>IF(L55=0,"",O55/L55)</x:f>
        <x:v>2</x:v>
      </x:c>
      <x:c r="R55" s="85" t="str">
        <x:v>消费分期P0003账单金额高于嘉泰实收</x:v>
      </x:c>
    </x:row>
    <x:row r="56">
      <x:c r="A56" s="85" t="n">
        <x:v>55</x:v>
      </x:c>
      <x:c r="B56" s="85" t="str">
        <x:v>JLZM026022612034668_4</x:v>
      </x:c>
      <x:c r="C56" s="85" t="str">
        <x:v>FXA26022612030500041</x:v>
      </x:c>
      <x:c r="D56" s="85" t="str">
        <x:v>JZM026022611578458</x:v>
      </x:c>
      <x:c r="E56" s="85" t="str">
        <x:v>JLZM026022612034668</x:v>
      </x:c>
      <x:c r="F56" s="85" t="str">
        <x:v>THJTBL-JSSM-BL2026022600073</x:v>
      </x:c>
      <x:c r="G56" s="85" t="str">
        <x:v>马文君</x:v>
      </x:c>
      <x:c r="H56" s="103" t="n">
        <x:v>46184</x:v>
      </x:c>
      <x:c r="I56" s="85" t="n">
        <x:v>4</x:v>
      </x:c>
      <x:c r="J56" s="85" t="str">
        <x:v>线下</x:v>
      </x:c>
      <x:c r="K56" s="85" t="str">
        <x:v>回购</x:v>
      </x:c>
      <x:c r="L56" s="104" t="n">
        <x:v>17.2</x:v>
      </x:c>
      <x:c r="M56" s="85" t="str">
        <x:v>ZM026022611578145</x:v>
      </x:c>
      <x:c r="N56" s="85" t="str">
        <x:v>FXA26022612022900041</x:v>
      </x:c>
      <x:c r="O56" s="104" t="n">
        <x:v>34.4</x:v>
      </x:c>
      <x:c r="P56" s="104" t="n">
        <x:f>O56-L56</x:f>
        <x:v>17.2</x:v>
      </x:c>
      <x:c r="Q56" s="105" t="n">
        <x:f>IF(L56=0,"",O56/L56)</x:f>
        <x:v>2</x:v>
      </x:c>
      <x:c r="R56" s="85" t="str">
        <x:v>消费分期P0003账单金额高于嘉泰实收</x:v>
      </x:c>
    </x:row>
    <x:row r="57">
      <x:c r="A57" s="85" t="n">
        <x:v>56</x:v>
      </x:c>
      <x:c r="B57" s="85" t="str">
        <x:v>JLZM026022511570740_4</x:v>
      </x:c>
      <x:c r="C57" s="85" t="str">
        <x:v>FXA26022511570500101</x:v>
      </x:c>
      <x:c r="D57" s="85" t="str">
        <x:v>JZM026022511491505</x:v>
      </x:c>
      <x:c r="E57" s="85" t="str">
        <x:v>JLZM026022511570740</x:v>
      </x:c>
      <x:c r="F57" s="85" t="str">
        <x:v>THJTBL-JSSM-BL2026022500292</x:v>
      </x:c>
      <x:c r="G57" s="85" t="str">
        <x:v>肖令仪</x:v>
      </x:c>
      <x:c r="H57" s="103" t="n">
        <x:v>46184</x:v>
      </x:c>
      <x:c r="I57" s="85" t="n">
        <x:v>4</x:v>
      </x:c>
      <x:c r="J57" s="85" t="str">
        <x:v>线下</x:v>
      </x:c>
      <x:c r="K57" s="85" t="str">
        <x:v>回购</x:v>
      </x:c>
      <x:c r="L57" s="104" t="n">
        <x:v>17.13</x:v>
      </x:c>
      <x:c r="M57" s="85" t="str">
        <x:v>ZM026022511498702</x:v>
      </x:c>
      <x:c r="N57" s="85" t="str">
        <x:v>FXA26022511542400041</x:v>
      </x:c>
      <x:c r="O57" s="104" t="n">
        <x:v>34.26</x:v>
      </x:c>
      <x:c r="P57" s="104" t="n">
        <x:f>O57-L57</x:f>
        <x:v>17.13</x:v>
      </x:c>
      <x:c r="Q57" s="105" t="n">
        <x:f>IF(L57=0,"",O57/L57)</x:f>
        <x:v>2</x:v>
      </x:c>
      <x:c r="R57" s="85" t="str">
        <x:v>消费分期P0003账单金额高于嘉泰实收</x:v>
      </x:c>
    </x:row>
    <x:row r="58">
      <x:c r="A58" s="85" t="n">
        <x:v>57</x:v>
      </x:c>
      <x:c r="B58" s="85" t="str">
        <x:v>JLZM026022511570743_4</x:v>
      </x:c>
      <x:c r="C58" s="85" t="str">
        <x:v>FXA26022511570700041</x:v>
      </x:c>
      <x:c r="D58" s="85" t="str">
        <x:v>JZM026022511491506</x:v>
      </x:c>
      <x:c r="E58" s="85" t="str">
        <x:v>JLZM026022511570743</x:v>
      </x:c>
      <x:c r="F58" s="85" t="str">
        <x:v>THJTBL-JSSM-BL2026022500294</x:v>
      </x:c>
      <x:c r="G58" s="85" t="str">
        <x:v>肖令仪</x:v>
      </x:c>
      <x:c r="H58" s="103" t="n">
        <x:v>46184</x:v>
      </x:c>
      <x:c r="I58" s="85" t="n">
        <x:v>4</x:v>
      </x:c>
      <x:c r="J58" s="85" t="str">
        <x:v>线下</x:v>
      </x:c>
      <x:c r="K58" s="85" t="str">
        <x:v>回购</x:v>
      </x:c>
      <x:c r="L58" s="104" t="n">
        <x:v>17.13</x:v>
      </x:c>
      <x:c r="M58" s="85" t="str">
        <x:v>ZM026022511498704</x:v>
      </x:c>
      <x:c r="N58" s="85" t="str">
        <x:v>FXA26022511542900041</x:v>
      </x:c>
      <x:c r="O58" s="104" t="n">
        <x:v>34.26</x:v>
      </x:c>
      <x:c r="P58" s="104" t="n">
        <x:f>O58-L58</x:f>
        <x:v>17.13</x:v>
      </x:c>
      <x:c r="Q58" s="105" t="n">
        <x:f>IF(L58=0,"",O58/L58)</x:f>
        <x:v>2</x:v>
      </x:c>
      <x:c r="R58" s="85" t="str">
        <x:v>消费分期P0003账单金额高于嘉泰实收</x:v>
      </x:c>
    </x:row>
    <x:row r="59">
      <x:c r="A59" s="85" t="n">
        <x:v>58</x:v>
      </x:c>
      <x:c r="B59" s="85" t="str">
        <x:v>JLZM026022612034670_4</x:v>
      </x:c>
      <x:c r="C59" s="85" t="str">
        <x:v>FXA26022612030600101</x:v>
      </x:c>
      <x:c r="D59" s="85" t="str">
        <x:v>JZM026022611578459</x:v>
      </x:c>
      <x:c r="E59" s="85" t="str">
        <x:v>JLZM026022612034670</x:v>
      </x:c>
      <x:c r="F59" s="85" t="str">
        <x:v>THJTBL-JSSM-BL2026022600074</x:v>
      </x:c>
      <x:c r="G59" s="85" t="str">
        <x:v>马文君</x:v>
      </x:c>
      <x:c r="H59" s="103" t="n">
        <x:v>46184</x:v>
      </x:c>
      <x:c r="I59" s="85" t="n">
        <x:v>4</x:v>
      </x:c>
      <x:c r="J59" s="85" t="str">
        <x:v>线下</x:v>
      </x:c>
      <x:c r="K59" s="85" t="str">
        <x:v>回购</x:v>
      </x:c>
      <x:c r="L59" s="104" t="n">
        <x:v>17.13</x:v>
      </x:c>
      <x:c r="M59" s="85" t="str">
        <x:v>ZM026022611578146</x:v>
      </x:c>
      <x:c r="N59" s="85" t="str">
        <x:v>FXA26022612022700041</x:v>
      </x:c>
      <x:c r="O59" s="104" t="n">
        <x:v>34.26</x:v>
      </x:c>
      <x:c r="P59" s="104" t="n">
        <x:f>O59-L59</x:f>
        <x:v>17.13</x:v>
      </x:c>
      <x:c r="Q59" s="105" t="n">
        <x:f>IF(L59=0,"",O59/L59)</x:f>
        <x:v>2</x:v>
      </x:c>
      <x:c r="R59" s="85" t="str">
        <x:v>消费分期P0003账单金额高于嘉泰实收</x:v>
      </x:c>
    </x:row>
    <x:row r="60">
      <x:c r="A60" s="85" t="n">
        <x:v>59</x:v>
      </x:c>
      <x:c r="B60" s="85" t="str">
        <x:v>JLZM026033012038243_3</x:v>
      </x:c>
      <x:c r="C60" s="85" t="str">
        <x:v>FXA26033012030800031</x:v>
      </x:c>
      <x:c r="D60" s="85" t="str">
        <x:v>JZM026033011571588</x:v>
      </x:c>
      <x:c r="E60" s="85" t="str">
        <x:v>JLZM026033012038243</x:v>
      </x:c>
      <x:c r="F60" s="85" t="str">
        <x:v>THJTBL-JSSM-BL2026033000757</x:v>
      </x:c>
      <x:c r="G60" s="85" t="str">
        <x:v>玉南哈</x:v>
      </x:c>
      <x:c r="H60" s="103" t="n">
        <x:v>46184</x:v>
      </x:c>
      <x:c r="I60" s="85" t="n">
        <x:v>3</x:v>
      </x:c>
      <x:c r="J60" s="85" t="str">
        <x:v>线下</x:v>
      </x:c>
      <x:c r="K60" s="85" t="str">
        <x:v>回购</x:v>
      </x:c>
      <x:c r="L60" s="104" t="n">
        <x:v>15.43</x:v>
      </x:c>
      <x:c r="M60" s="85" t="str">
        <x:v>ZM026033011577223</x:v>
      </x:c>
      <x:c r="N60" s="85" t="str">
        <x:v>FXA26033012023000031</x:v>
      </x:c>
      <x:c r="O60" s="104" t="n">
        <x:v>30.85</x:v>
      </x:c>
      <x:c r="P60" s="104" t="n">
        <x:f>O60-L60</x:f>
        <x:v>15.420000000000002</x:v>
      </x:c>
      <x:c r="Q60" s="105" t="n">
        <x:f>IF(L60=0,"",O60/L60)</x:f>
        <x:v>1.9993519118600132</x:v>
      </x:c>
      <x:c r="R60" s="85" t="str">
        <x:v>消费分期P0003账单金额高于嘉泰实收</x:v>
      </x:c>
    </x:row>
    <x:row r="61">
      <x:c r="A61" s="85" t="n">
        <x:v>60</x:v>
      </x:c>
      <x:c r="B61" s="85" t="str">
        <x:v>JLZM026022505276285_4</x:v>
      </x:c>
      <x:c r="C61" s="85" t="str">
        <x:v>FXA26022505270500041</x:v>
      </x:c>
      <x:c r="D61" s="85" t="str">
        <x:v>JZM026022505213751</x:v>
      </x:c>
      <x:c r="E61" s="85" t="str">
        <x:v>JLZM026022505276285</x:v>
      </x:c>
      <x:c r="F61" s="85" t="str">
        <x:v>THJTBL-JSSM-BL2026022500159</x:v>
      </x:c>
      <x:c r="G61" s="85" t="str">
        <x:v>顾逸伟</x:v>
      </x:c>
      <x:c r="H61" s="103" t="n">
        <x:v>46184</x:v>
      </x:c>
      <x:c r="I61" s="85" t="n">
        <x:v>4</x:v>
      </x:c>
      <x:c r="J61" s="85" t="str">
        <x:v>线下</x:v>
      </x:c>
      <x:c r="K61" s="85" t="str">
        <x:v>回购</x:v>
      </x:c>
      <x:c r="L61" s="104" t="n">
        <x:v>15.29</x:v>
      </x:c>
      <x:c r="M61" s="85" t="str">
        <x:v>ZM026022505219670</x:v>
      </x:c>
      <x:c r="N61" s="85" t="str">
        <x:v>FXA26022505261600041</x:v>
      </x:c>
      <x:c r="O61" s="104" t="n">
        <x:v>30.59</x:v>
      </x:c>
      <x:c r="P61" s="104" t="n">
        <x:f>O61-L61</x:f>
        <x:v>15.3</x:v>
      </x:c>
      <x:c r="Q61" s="105" t="n">
        <x:f>IF(L61=0,"",O61/L61)</x:f>
        <x:v>2.0006540222367564</x:v>
      </x:c>
      <x:c r="R61" s="85" t="str">
        <x:v>消费分期P0003账单金额高于嘉泰实收</x:v>
      </x:c>
    </x:row>
    <x:row r="62">
      <x:c r="A62" s="85" t="n">
        <x:v>61</x:v>
      </x:c>
      <x:c r="B62" s="85" t="str">
        <x:v>JLZM026031315577405_4</x:v>
      </x:c>
      <x:c r="C62" s="85" t="str">
        <x:v>FXA26031315570500041</x:v>
      </x:c>
      <x:c r="D62" s="85" t="str">
        <x:v>JZM026031315496103</x:v>
      </x:c>
      <x:c r="E62" s="85" t="str">
        <x:v>JLZM026031315577405</x:v>
      </x:c>
      <x:c r="F62" s="85" t="str">
        <x:v>THJTBL-JSSM-BL2026031300215</x:v>
      </x:c>
      <x:c r="G62" s="85" t="str">
        <x:v>冯群</x:v>
      </x:c>
      <x:c r="H62" s="103" t="n">
        <x:v>46184</x:v>
      </x:c>
      <x:c r="I62" s="85" t="n">
        <x:v>4</x:v>
      </x:c>
      <x:c r="J62" s="85" t="str">
        <x:v>线下</x:v>
      </x:c>
      <x:c r="K62" s="85" t="str">
        <x:v>回购</x:v>
      </x:c>
      <x:c r="L62" s="104" t="n">
        <x:v>14.95</x:v>
      </x:c>
      <x:c r="M62" s="85" t="str">
        <x:v>ZM026031315497535</x:v>
      </x:c>
      <x:c r="N62" s="85" t="str">
        <x:v>FXA26031315541100041</x:v>
      </x:c>
      <x:c r="O62" s="104" t="n">
        <x:v>29.9</x:v>
      </x:c>
      <x:c r="P62" s="104" t="n">
        <x:f>O62-L62</x:f>
        <x:v>14.95</x:v>
      </x:c>
      <x:c r="Q62" s="105" t="n">
        <x:f>IF(L62=0,"",O62/L62)</x:f>
        <x:v>2</x:v>
      </x:c>
      <x:c r="R62" s="85" t="str">
        <x:v>消费分期P0003账单金额高于嘉泰实收</x:v>
      </x:c>
    </x:row>
    <x:row r="63">
      <x:c r="A63" s="85" t="n">
        <x:v>62</x:v>
      </x:c>
      <x:c r="B63" s="85" t="str">
        <x:v>JLZM026022818097853_4</x:v>
      </x:c>
      <x:c r="C63" s="85" t="str">
        <x:v>FXA26022818090800041</x:v>
      </x:c>
      <x:c r="D63" s="85" t="str">
        <x:v>JZM026022818021013</x:v>
      </x:c>
      <x:c r="E63" s="85" t="str">
        <x:v>JLZM026022818097853</x:v>
      </x:c>
      <x:c r="F63" s="85" t="str">
        <x:v>THJTBL-JSSM-BL2026022800442</x:v>
      </x:c>
      <x:c r="G63" s="85" t="str">
        <x:v>魏乐</x:v>
      </x:c>
      <x:c r="H63" s="103" t="n">
        <x:v>46184</x:v>
      </x:c>
      <x:c r="I63" s="85" t="n">
        <x:v>4</x:v>
      </x:c>
      <x:c r="J63" s="85" t="str">
        <x:v>线下</x:v>
      </x:c>
      <x:c r="K63" s="85" t="str">
        <x:v>回购</x:v>
      </x:c>
      <x:c r="L63" s="104" t="n">
        <x:v>13.97</x:v>
      </x:c>
      <x:c r="M63" s="85" t="str">
        <x:v>ZM026022818011709</x:v>
      </x:c>
      <x:c r="N63" s="85" t="str">
        <x:v>FXA26022818061700041</x:v>
      </x:c>
      <x:c r="O63" s="104" t="n">
        <x:v>27.94</x:v>
      </x:c>
      <x:c r="P63" s="104" t="n">
        <x:f>O63-L63</x:f>
        <x:v>13.97</x:v>
      </x:c>
      <x:c r="Q63" s="105" t="n">
        <x:f>IF(L63=0,"",O63/L63)</x:f>
        <x:v>2</x:v>
      </x:c>
      <x:c r="R63" s="85" t="str">
        <x:v>消费分期P0003账单金额高于嘉泰实收</x:v>
      </x:c>
    </x:row>
    <x:row r="64">
      <x:c r="A64" s="85" t="n">
        <x:v>63</x:v>
      </x:c>
      <x:c r="B64" s="85" t="str">
        <x:v>JLZM026022413331862_4</x:v>
      </x:c>
      <x:c r="C64" s="85" t="str">
        <x:v>FXA26022413334000041</x:v>
      </x:c>
      <x:c r="D64" s="85" t="str">
        <x:v>JZM026022413255809</x:v>
      </x:c>
      <x:c r="E64" s="85" t="str">
        <x:v>JLZM026022413331862</x:v>
      </x:c>
      <x:c r="F64" s="85" t="str">
        <x:v>THJTBL-JSSM-BL2026022400193</x:v>
      </x:c>
      <x:c r="G64" s="85" t="str">
        <x:v>钱招营</x:v>
      </x:c>
      <x:c r="H64" s="103" t="n">
        <x:v>46184</x:v>
      </x:c>
      <x:c r="I64" s="85" t="n">
        <x:v>4</x:v>
      </x:c>
      <x:c r="J64" s="85" t="str">
        <x:v>线下</x:v>
      </x:c>
      <x:c r="K64" s="85" t="str">
        <x:v>回购</x:v>
      </x:c>
      <x:c r="L64" s="104" t="n">
        <x:v>13.4</x:v>
      </x:c>
      <x:c r="M64" s="85" t="str">
        <x:v>ZM026022413250457</x:v>
      </x:c>
      <x:c r="N64" s="85" t="str">
        <x:v>FXA26022413302100041</x:v>
      </x:c>
      <x:c r="O64" s="104" t="n">
        <x:v>26.8</x:v>
      </x:c>
      <x:c r="P64" s="104" t="n">
        <x:f>O64-L64</x:f>
        <x:v>13.4</x:v>
      </x:c>
      <x:c r="Q64" s="105" t="n">
        <x:f>IF(L64=0,"",O64/L64)</x:f>
        <x:v>2</x:v>
      </x:c>
      <x:c r="R64" s="85" t="str">
        <x:v>消费分期P0003账单金额高于嘉泰实收</x:v>
      </x:c>
    </x:row>
    <x:row r="65">
      <x:c r="A65" s="85" t="n">
        <x:v>64</x:v>
      </x:c>
      <x:c r="B65" s="85" t="str">
        <x:v>JLZM026022511097941_4</x:v>
      </x:c>
      <x:c r="C65" s="85" t="str">
        <x:v>FXA26022511090500101</x:v>
      </x:c>
      <x:c r="D65" s="85" t="str">
        <x:v>JZM026022511052366</x:v>
      </x:c>
      <x:c r="E65" s="85" t="str">
        <x:v>JLZM026022511097941</x:v>
      </x:c>
      <x:c r="F65" s="85" t="str">
        <x:v>THJTBL-JSSM-BL2026022500250</x:v>
      </x:c>
      <x:c r="G65" s="85" t="str">
        <x:v>张靖</x:v>
      </x:c>
      <x:c r="H65" s="103" t="n">
        <x:v>46184</x:v>
      </x:c>
      <x:c r="I65" s="85" t="n">
        <x:v>4</x:v>
      </x:c>
      <x:c r="J65" s="85" t="str">
        <x:v>线下</x:v>
      </x:c>
      <x:c r="K65" s="85" t="str">
        <x:v>回购</x:v>
      </x:c>
      <x:c r="L65" s="104" t="n">
        <x:v>13.4</x:v>
      </x:c>
      <x:c r="M65" s="85" t="str">
        <x:v>ZM026022511053805</x:v>
      </x:c>
      <x:c r="N65" s="85" t="str">
        <x:v>FXA26022511081900041</x:v>
      </x:c>
      <x:c r="O65" s="104" t="n">
        <x:v>26.8</x:v>
      </x:c>
      <x:c r="P65" s="104" t="n">
        <x:f>O65-L65</x:f>
        <x:v>13.4</x:v>
      </x:c>
      <x:c r="Q65" s="105" t="n">
        <x:f>IF(L65=0,"",O65/L65)</x:f>
        <x:v>2</x:v>
      </x:c>
      <x:c r="R65" s="85" t="str">
        <x:v>消费分期P0003账单金额高于嘉泰实收</x:v>
      </x:c>
    </x:row>
    <x:row r="66">
      <x:c r="A66" s="85" t="n">
        <x:v>65</x:v>
      </x:c>
      <x:c r="B66" s="85" t="str">
        <x:v>JLZM026022515335075_4</x:v>
      </x:c>
      <x:c r="C66" s="85" t="str">
        <x:v>FXA26022515330700041</x:v>
      </x:c>
      <x:c r="D66" s="85" t="str">
        <x:v>JZM026022515294193</x:v>
      </x:c>
      <x:c r="E66" s="85" t="str">
        <x:v>JLZM026022515335075</x:v>
      </x:c>
      <x:c r="F66" s="85" t="str">
        <x:v>THJTBL-JSSM-BL2026022500455</x:v>
      </x:c>
      <x:c r="G66" s="85" t="str">
        <x:v>陈嘉豪</x:v>
      </x:c>
      <x:c r="H66" s="103" t="n">
        <x:v>46184</x:v>
      </x:c>
      <x:c r="I66" s="85" t="n">
        <x:v>4</x:v>
      </x:c>
      <x:c r="J66" s="85" t="str">
        <x:v>线下</x:v>
      </x:c>
      <x:c r="K66" s="85" t="str">
        <x:v>回购</x:v>
      </x:c>
      <x:c r="L66" s="104" t="n">
        <x:v>13.4</x:v>
      </x:c>
      <x:c r="M66" s="85" t="str">
        <x:v>ZM026022515299117</x:v>
      </x:c>
      <x:c r="N66" s="85" t="str">
        <x:v>FXA26022515324300041</x:v>
      </x:c>
      <x:c r="O66" s="104" t="n">
        <x:v>26.8</x:v>
      </x:c>
      <x:c r="P66" s="104" t="n">
        <x:f>O66-L66</x:f>
        <x:v>13.4</x:v>
      </x:c>
      <x:c r="Q66" s="105" t="n">
        <x:f>IF(L66=0,"",O66/L66)</x:f>
        <x:v>2</x:v>
      </x:c>
      <x:c r="R66" s="85" t="str">
        <x:v>消费分期P0003账单金额高于嘉泰实收</x:v>
      </x:c>
    </x:row>
    <x:row r="67">
      <x:c r="A67" s="85" t="n">
        <x:v>66</x:v>
      </x:c>
      <x:c r="B67" s="85" t="str">
        <x:v>JLZM026022611481155_4</x:v>
      </x:c>
      <x:c r="C67" s="85" t="str">
        <x:v>FXA26022611480500041</x:v>
      </x:c>
      <x:c r="D67" s="85" t="str">
        <x:v>JZM026022611411655</x:v>
      </x:c>
      <x:c r="E67" s="85" t="str">
        <x:v>JLZM026022611481155</x:v>
      </x:c>
      <x:c r="F67" s="85" t="str">
        <x:v>THJTBL-JSSM-BL2026022600064</x:v>
      </x:c>
      <x:c r="G67" s="85" t="str">
        <x:v>鲁丹旭</x:v>
      </x:c>
      <x:c r="H67" s="103" t="n">
        <x:v>46184</x:v>
      </x:c>
      <x:c r="I67" s="85" t="n">
        <x:v>4</x:v>
      </x:c>
      <x:c r="J67" s="85" t="str">
        <x:v>线下</x:v>
      </x:c>
      <x:c r="K67" s="85" t="str">
        <x:v>回购</x:v>
      </x:c>
      <x:c r="L67" s="104" t="n">
        <x:v>13.4</x:v>
      </x:c>
      <x:c r="M67" s="85" t="str">
        <x:v>ZM026022611419038</x:v>
      </x:c>
      <x:c r="N67" s="85" t="str">
        <x:v>FXA26022611461100041</x:v>
      </x:c>
      <x:c r="O67" s="104" t="n">
        <x:v>26.8</x:v>
      </x:c>
      <x:c r="P67" s="104" t="n">
        <x:f>O67-L67</x:f>
        <x:v>13.4</x:v>
      </x:c>
      <x:c r="Q67" s="105" t="n">
        <x:f>IF(L67=0,"",O67/L67)</x:f>
        <x:v>2</x:v>
      </x:c>
      <x:c r="R67" s="85" t="str">
        <x:v>消费分期P0003账单金额高于嘉泰实收</x:v>
      </x:c>
    </x:row>
    <x:row r="68">
      <x:c r="A68" s="85" t="n">
        <x:v>67</x:v>
      </x:c>
      <x:c r="B68" s="85" t="str">
        <x:v>JLZM026022811330004_4</x:v>
      </x:c>
      <x:c r="C68" s="85" t="str">
        <x:v>FXA26022811330500041</x:v>
      </x:c>
      <x:c r="D68" s="85" t="str">
        <x:v>JZM026022811256984</x:v>
      </x:c>
      <x:c r="E68" s="85" t="str">
        <x:v>JLZM026022811330004</x:v>
      </x:c>
      <x:c r="F68" s="85" t="str">
        <x:v>THJTBL-JSSM-BL2026022800130</x:v>
      </x:c>
      <x:c r="G68" s="85" t="str">
        <x:v>沈梦玥</x:v>
      </x:c>
      <x:c r="H68" s="103" t="n">
        <x:v>46184</x:v>
      </x:c>
      <x:c r="I68" s="85" t="n">
        <x:v>4</x:v>
      </x:c>
      <x:c r="J68" s="85" t="str">
        <x:v>线下</x:v>
      </x:c>
      <x:c r="K68" s="85" t="str">
        <x:v>回购</x:v>
      </x:c>
      <x:c r="L68" s="104" t="n">
        <x:v>13.4</x:v>
      </x:c>
      <x:c r="M68" s="85" t="str">
        <x:v>ZM026022811259220</x:v>
      </x:c>
      <x:c r="N68" s="85" t="str">
        <x:v>FXA26022811301100041</x:v>
      </x:c>
      <x:c r="O68" s="104" t="n">
        <x:v>26.8</x:v>
      </x:c>
      <x:c r="P68" s="104" t="n">
        <x:f>O68-L68</x:f>
        <x:v>13.4</x:v>
      </x:c>
      <x:c r="Q68" s="105" t="n">
        <x:f>IF(L68=0,"",O68/L68)</x:f>
        <x:v>2</x:v>
      </x:c>
      <x:c r="R68" s="85" t="str">
        <x:v>消费分期P0003账单金额高于嘉泰实收</x:v>
      </x:c>
    </x:row>
    <x:row r="69">
      <x:c r="A69" s="85" t="n">
        <x:v>68</x:v>
      </x:c>
      <x:c r="B69" s="85" t="str">
        <x:v>JLZM026022811330009_4</x:v>
      </x:c>
      <x:c r="C69" s="85" t="str">
        <x:v>FXA26022811330800041</x:v>
      </x:c>
      <x:c r="D69" s="85" t="str">
        <x:v>JZM026022811299353</x:v>
      </x:c>
      <x:c r="E69" s="85" t="str">
        <x:v>JLZM026022811330009</x:v>
      </x:c>
      <x:c r="F69" s="85" t="str">
        <x:v>THJTBL-JSSM-BL2026022800133</x:v>
      </x:c>
      <x:c r="G69" s="85" t="str">
        <x:v>沈梦玥</x:v>
      </x:c>
      <x:c r="H69" s="103" t="n">
        <x:v>46184</x:v>
      </x:c>
      <x:c r="I69" s="85" t="n">
        <x:v>4</x:v>
      </x:c>
      <x:c r="J69" s="85" t="str">
        <x:v>线下</x:v>
      </x:c>
      <x:c r="K69" s="85" t="str">
        <x:v>回购</x:v>
      </x:c>
      <x:c r="L69" s="104" t="n">
        <x:v>13.4</x:v>
      </x:c>
      <x:c r="M69" s="85" t="str">
        <x:v>ZM026022811295555</x:v>
      </x:c>
      <x:c r="N69" s="85" t="str">
        <x:v>FXA26022811321100041</x:v>
      </x:c>
      <x:c r="O69" s="104" t="n">
        <x:v>26.8</x:v>
      </x:c>
      <x:c r="P69" s="104" t="n">
        <x:f>O69-L69</x:f>
        <x:v>13.4</x:v>
      </x:c>
      <x:c r="Q69" s="105" t="n">
        <x:f>IF(L69=0,"",O69/L69)</x:f>
        <x:v>2</x:v>
      </x:c>
      <x:c r="R69" s="85" t="str">
        <x:v>消费分期P0003账单金额高于嘉泰实收</x:v>
      </x:c>
    </x:row>
    <x:row r="70">
      <x:c r="A70" s="85" t="n">
        <x:v>69</x:v>
      </x:c>
      <x:c r="B70" s="85" t="str">
        <x:v>JLZM026022414030642_4</x:v>
      </x:c>
      <x:c r="C70" s="85" t="str">
        <x:v>FXA26022414030600041</x:v>
      </x:c>
      <x:c r="D70" s="85" t="str">
        <x:v>JZM026022413574006</x:v>
      </x:c>
      <x:c r="E70" s="85" t="str">
        <x:v>JLZM026022414030642</x:v>
      </x:c>
      <x:c r="F70" s="85" t="str">
        <x:v>THJTBL-JSSM-BL2026022400208</x:v>
      </x:c>
      <x:c r="G70" s="85" t="str">
        <x:v>曾明喜</x:v>
      </x:c>
      <x:c r="H70" s="103" t="n">
        <x:v>46184</x:v>
      </x:c>
      <x:c r="I70" s="85" t="n">
        <x:v>4</x:v>
      </x:c>
      <x:c r="J70" s="85" t="str">
        <x:v>线下</x:v>
      </x:c>
      <x:c r="K70" s="85" t="str">
        <x:v>回购</x:v>
      </x:c>
      <x:c r="L70" s="104" t="n">
        <x:v>13.33</x:v>
      </x:c>
      <x:c r="M70" s="85" t="str">
        <x:v>ZM026022413574255</x:v>
      </x:c>
      <x:c r="N70" s="85" t="str">
        <x:v>FXA26022414023300041</x:v>
      </x:c>
      <x:c r="O70" s="104" t="n">
        <x:v>26.66</x:v>
      </x:c>
      <x:c r="P70" s="104" t="n">
        <x:f>O70-L70</x:f>
        <x:v>13.33</x:v>
      </x:c>
      <x:c r="Q70" s="105" t="n">
        <x:f>IF(L70=0,"",O70/L70)</x:f>
        <x:v>2</x:v>
      </x:c>
      <x:c r="R70" s="85" t="str">
        <x:v>消费分期P0003账单金额高于嘉泰实收</x:v>
      </x:c>
    </x:row>
    <x:row r="71">
      <x:c r="A71" s="85" t="n">
        <x:v>70</x:v>
      </x:c>
      <x:c r="B71" s="85" t="str">
        <x:v>JLZM026022501276066_4</x:v>
      </x:c>
      <x:c r="C71" s="85" t="str">
        <x:v>FXA26022501272800041</x:v>
      </x:c>
      <x:c r="D71" s="85" t="str">
        <x:v>JZM026022501224320</x:v>
      </x:c>
      <x:c r="E71" s="85" t="str">
        <x:v>JLZM026022501276066</x:v>
      </x:c>
      <x:c r="F71" s="85" t="str">
        <x:v>THJTBL-JSSM-BL2026022500091</x:v>
      </x:c>
      <x:c r="G71" s="85" t="str">
        <x:v>刘欣怡</x:v>
      </x:c>
      <x:c r="H71" s="103" t="n">
        <x:v>46184</x:v>
      </x:c>
      <x:c r="I71" s="85" t="n">
        <x:v>4</x:v>
      </x:c>
      <x:c r="J71" s="85" t="str">
        <x:v>线下</x:v>
      </x:c>
      <x:c r="K71" s="85" t="str">
        <x:v>回购</x:v>
      </x:c>
      <x:c r="L71" s="104" t="n">
        <x:v>13.27</x:v>
      </x:c>
      <x:c r="M71" s="85" t="str">
        <x:v>ZM026022501224173</x:v>
      </x:c>
      <x:c r="N71" s="85" t="str">
        <x:v>FXA26022501263500041</x:v>
      </x:c>
      <x:c r="O71" s="104" t="n">
        <x:v>26.54</x:v>
      </x:c>
      <x:c r="P71" s="104" t="n">
        <x:f>O71-L71</x:f>
        <x:v>13.27</x:v>
      </x:c>
      <x:c r="Q71" s="105" t="n">
        <x:f>IF(L71=0,"",O71/L71)</x:f>
        <x:v>2</x:v>
      </x:c>
      <x:c r="R71" s="85" t="str">
        <x:v>消费分期P0003账单金额高于嘉泰实收</x:v>
      </x:c>
    </x:row>
    <x:row r="72">
      <x:c r="A72" s="85" t="n">
        <x:v>71</x:v>
      </x:c>
      <x:c r="B72" s="85" t="str">
        <x:v>JLZM026040618394585_3</x:v>
      </x:c>
      <x:c r="C72" s="85" t="str">
        <x:v>FXA26040618390700031</x:v>
      </x:c>
      <x:c r="D72" s="85" t="str">
        <x:v>JZM026040618296594</x:v>
      </x:c>
      <x:c r="E72" s="85" t="str">
        <x:v>JLZM026040618394585</x:v>
      </x:c>
      <x:c r="F72" s="85" t="str">
        <x:v>THJTBL-JSSM-BL2026040601635</x:v>
      </x:c>
      <x:c r="G72" s="85" t="str">
        <x:v>李桃</x:v>
      </x:c>
      <x:c r="H72" s="103" t="n">
        <x:v>46184</x:v>
      </x:c>
      <x:c r="I72" s="85" t="n">
        <x:v>3</x:v>
      </x:c>
      <x:c r="J72" s="85" t="str">
        <x:v>线下</x:v>
      </x:c>
      <x:c r="K72" s="85" t="str">
        <x:v>回购</x:v>
      </x:c>
      <x:c r="L72" s="104" t="n">
        <x:v>12.73</x:v>
      </x:c>
      <x:c r="M72" s="85" t="str">
        <x:v>ZM026040618290176</x:v>
      </x:c>
      <x:c r="N72" s="85" t="str">
        <x:v>FXA26040618383000031</x:v>
      </x:c>
      <x:c r="O72" s="104" t="n">
        <x:v>25.46</x:v>
      </x:c>
      <x:c r="P72" s="104" t="n">
        <x:f>O72-L72</x:f>
        <x:v>12.73</x:v>
      </x:c>
      <x:c r="Q72" s="105" t="n">
        <x:f>IF(L72=0,"",O72/L72)</x:f>
        <x:v>2</x:v>
      </x:c>
      <x:c r="R72" s="85" t="str">
        <x:v>消费分期P0003账单金额高于嘉泰实收</x:v>
      </x:c>
    </x:row>
    <x:row r="73">
      <x:c r="A73" s="85" t="n">
        <x:v>72</x:v>
      </x:c>
      <x:c r="B73" s="85" t="str">
        <x:v>JLZM026022811459650_4</x:v>
      </x:c>
      <x:c r="C73" s="85" t="str">
        <x:v>FXA26022811450600041</x:v>
      </x:c>
      <x:c r="D73" s="85" t="str">
        <x:v>JZM026022811374365</x:v>
      </x:c>
      <x:c r="E73" s="85" t="str">
        <x:v>JLZM026022811459650</x:v>
      </x:c>
      <x:c r="F73" s="85" t="str">
        <x:v>THJTBL-JSSM-BL2026022800135</x:v>
      </x:c>
      <x:c r="G73" s="85" t="str">
        <x:v>李洪</x:v>
      </x:c>
      <x:c r="H73" s="103" t="n">
        <x:v>46184</x:v>
      </x:c>
      <x:c r="I73" s="85" t="n">
        <x:v>4</x:v>
      </x:c>
      <x:c r="J73" s="85" t="str">
        <x:v>线下</x:v>
      </x:c>
      <x:c r="K73" s="85" t="str">
        <x:v>回购</x:v>
      </x:c>
      <x:c r="L73" s="104" t="n">
        <x:v>12.32</x:v>
      </x:c>
      <x:c r="M73" s="85" t="str">
        <x:v>ZM026022811370497</x:v>
      </x:c>
      <x:c r="N73" s="85" t="str">
        <x:v>FXA26022811422000041</x:v>
      </x:c>
      <x:c r="O73" s="104" t="n">
        <x:v>24.63</x:v>
      </x:c>
      <x:c r="P73" s="104" t="n">
        <x:f>O73-L73</x:f>
        <x:v>12.309999999999999</x:v>
      </x:c>
      <x:c r="Q73" s="105" t="n">
        <x:f>IF(L73=0,"",O73/L73)</x:f>
        <x:v>1.9991883116883116</x:v>
      </x:c>
      <x:c r="R73" s="85" t="str">
        <x:v>消费分期P0003账单金额高于嘉泰实收</x:v>
      </x:c>
    </x:row>
    <x:row r="74">
      <x:c r="A74" s="85" t="n">
        <x:v>73</x:v>
      </x:c>
      <x:c r="B74" s="85" t="str">
        <x:v>JLZM026022511097942_4</x:v>
      </x:c>
      <x:c r="C74" s="85" t="str">
        <x:v>FXA26022511090600041</x:v>
      </x:c>
      <x:c r="D74" s="85" t="str">
        <x:v>JZM026022511063073</x:v>
      </x:c>
      <x:c r="E74" s="85" t="str">
        <x:v>JLZM026022511097942</x:v>
      </x:c>
      <x:c r="F74" s="85" t="str">
        <x:v>THJTBL-JSSM-BL2026022500252</x:v>
      </x:c>
      <x:c r="G74" s="85" t="str">
        <x:v>张靖</x:v>
      </x:c>
      <x:c r="H74" s="103" t="n">
        <x:v>46184</x:v>
      </x:c>
      <x:c r="I74" s="85" t="n">
        <x:v>4</x:v>
      </x:c>
      <x:c r="J74" s="85" t="str">
        <x:v>线下</x:v>
      </x:c>
      <x:c r="K74" s="85" t="str">
        <x:v>回购</x:v>
      </x:c>
      <x:c r="L74" s="104" t="n">
        <x:v>12.06</x:v>
      </x:c>
      <x:c r="M74" s="85" t="str">
        <x:v>ZM026022511053807</x:v>
      </x:c>
      <x:c r="N74" s="85" t="str">
        <x:v>FXA26022511082300041</x:v>
      </x:c>
      <x:c r="O74" s="104" t="n">
        <x:v>24.12</x:v>
      </x:c>
      <x:c r="P74" s="104" t="n">
        <x:f>O74-L74</x:f>
        <x:v>12.06</x:v>
      </x:c>
      <x:c r="Q74" s="105" t="n">
        <x:f>IF(L74=0,"",O74/L74)</x:f>
        <x:v>2</x:v>
      </x:c>
      <x:c r="R74" s="85" t="str">
        <x:v>消费分期P0003账单金额高于嘉泰实收</x:v>
      </x:c>
    </x:row>
    <x:row r="75">
      <x:c r="A75" s="85" t="n">
        <x:v>74</x:v>
      </x:c>
      <x:c r="B75" s="85" t="str">
        <x:v>JLZM026040719572799_3</x:v>
      </x:c>
      <x:c r="C75" s="85" t="str">
        <x:v>FXA26040719571000031</x:v>
      </x:c>
      <x:c r="D75" s="85" t="str">
        <x:v>JZM026040719498208</x:v>
      </x:c>
      <x:c r="E75" s="85" t="str">
        <x:v>JLZM026040719572799</x:v>
      </x:c>
      <x:c r="F75" s="85" t="str">
        <x:v>THJTBL-JSSM-BL2026040702023</x:v>
      </x:c>
      <x:c r="G75" s="85" t="str">
        <x:v>周洁</x:v>
      </x:c>
      <x:c r="H75" s="103" t="n">
        <x:v>46184</x:v>
      </x:c>
      <x:c r="I75" s="85" t="n">
        <x:v>3</x:v>
      </x:c>
      <x:c r="J75" s="85" t="str">
        <x:v>线下</x:v>
      </x:c>
      <x:c r="K75" s="85" t="str">
        <x:v>回购</x:v>
      </x:c>
      <x:c r="L75" s="104" t="n">
        <x:v>11.74</x:v>
      </x:c>
      <x:c r="M75" s="85" t="str">
        <x:v>ZM026040719498160</x:v>
      </x:c>
      <x:c r="N75" s="85" t="str">
        <x:v>FXA26040719543700031</x:v>
      </x:c>
      <x:c r="O75" s="104" t="n">
        <x:v>23.49</x:v>
      </x:c>
      <x:c r="P75" s="104" t="n">
        <x:f>O75-L75</x:f>
        <x:v>11.749999999999998</x:v>
      </x:c>
      <x:c r="Q75" s="105" t="n">
        <x:f>IF(L75=0,"",O75/L75)</x:f>
        <x:v>2.000851788756388</x:v>
      </x:c>
      <x:c r="R75" s="85" t="str">
        <x:v>消费分期P0003账单金额高于嘉泰实收</x:v>
      </x:c>
    </x:row>
    <x:row r="76">
      <x:c r="A76" s="85" t="n">
        <x:v>75</x:v>
      </x:c>
      <x:c r="B76" s="85" t="str">
        <x:v>JLZM026031312575016_4</x:v>
      </x:c>
      <x:c r="C76" s="85" t="str">
        <x:v>FXA26031312570600041</x:v>
      </x:c>
      <x:c r="D76" s="85" t="str">
        <x:v>JZM026031312496590</x:v>
      </x:c>
      <x:c r="E76" s="85" t="str">
        <x:v>JLZM026031312575016</x:v>
      </x:c>
      <x:c r="F76" s="85" t="str">
        <x:v>THJTBL-JSSM-BL2026031300129</x:v>
      </x:c>
      <x:c r="G76" s="85" t="str">
        <x:v>苏志平</x:v>
      </x:c>
      <x:c r="H76" s="103" t="n">
        <x:v>46184</x:v>
      </x:c>
      <x:c r="I76" s="85" t="n">
        <x:v>4</x:v>
      </x:c>
      <x:c r="J76" s="85" t="str">
        <x:v>线下</x:v>
      </x:c>
      <x:c r="K76" s="85" t="str">
        <x:v>回购</x:v>
      </x:c>
      <x:c r="L76" s="104" t="n">
        <x:v>11.64</x:v>
      </x:c>
      <x:c r="M76" s="85" t="str">
        <x:v>ZM026031312494227</x:v>
      </x:c>
      <x:c r="N76" s="85" t="str">
        <x:v>FXA26031312541000041</x:v>
      </x:c>
      <x:c r="O76" s="104" t="n">
        <x:v>23.29</x:v>
      </x:c>
      <x:c r="P76" s="104" t="n">
        <x:f>O76-L76</x:f>
        <x:v>11.649999999999999</x:v>
      </x:c>
      <x:c r="Q76" s="105" t="n">
        <x:f>IF(L76=0,"",O76/L76)</x:f>
        <x:v>2.0008591065292096</x:v>
      </x:c>
      <x:c r="R76" s="85" t="str">
        <x:v>消费分期P0003账单金额高于嘉泰实收</x:v>
      </x:c>
    </x:row>
    <x:row r="77">
      <x:c r="A77" s="85" t="n">
        <x:v>76</x:v>
      </x:c>
      <x:c r="B77" s="85" t="str">
        <x:v>JLZM026022320306530_4</x:v>
      </x:c>
      <x:c r="C77" s="85" t="str">
        <x:v>FXA26022320305300041</x:v>
      </x:c>
      <x:c r="D77" s="85" t="str">
        <x:v>JZM026022320221127</x:v>
      </x:c>
      <x:c r="E77" s="85" t="str">
        <x:v>JLZM026022320306530</x:v>
      </x:c>
      <x:c r="F77" s="85" t="str">
        <x:v>THJTBL-JSSM-BL2026022300232</x:v>
      </x:c>
      <x:c r="G77" s="85" t="str">
        <x:v>梁雨</x:v>
      </x:c>
      <x:c r="H77" s="103" t="n">
        <x:v>46184</x:v>
      </x:c>
      <x:c r="I77" s="85" t="n">
        <x:v>4</x:v>
      </x:c>
      <x:c r="J77" s="85" t="str">
        <x:v>线下</x:v>
      </x:c>
      <x:c r="K77" s="85" t="str">
        <x:v>回购</x:v>
      </x:c>
      <x:c r="L77" s="104" t="n">
        <x:v>11.3</x:v>
      </x:c>
      <x:c r="M77" s="85" t="str">
        <x:v>ZM026022320216276</x:v>
      </x:c>
      <x:c r="N77" s="85" t="str">
        <x:v>FXA26022320271100041</x:v>
      </x:c>
      <x:c r="O77" s="104" t="n">
        <x:v>22.61</x:v>
      </x:c>
      <x:c r="P77" s="104" t="n">
        <x:f>O77-L77</x:f>
        <x:v>11.309999999999999</x:v>
      </x:c>
      <x:c r="Q77" s="105" t="n">
        <x:f>IF(L77=0,"",O77/L77)</x:f>
        <x:v>2.000884955752212</x:v>
      </x:c>
      <x:c r="R77" s="85" t="str">
        <x:v>消费分期P0003账单金额高于嘉泰实收</x:v>
      </x:c>
    </x:row>
    <x:row r="78">
      <x:c r="A78" s="85" t="n">
        <x:v>77</x:v>
      </x:c>
      <x:c r="B78" s="85" t="str">
        <x:v>JLZM026022711210856_4</x:v>
      </x:c>
      <x:c r="C78" s="85" t="str">
        <x:v>FXA26022711210700101</x:v>
      </x:c>
      <x:c r="D78" s="85" t="str">
        <x:v>JZM026022711138975</x:v>
      </x:c>
      <x:c r="E78" s="85" t="str">
        <x:v>JLZM026022711210856</x:v>
      </x:c>
      <x:c r="F78" s="85" t="str">
        <x:v>THJTBL-JSSM-BL2026022700073</x:v>
      </x:c>
      <x:c r="G78" s="85" t="str">
        <x:v>齐晓歌</x:v>
      </x:c>
      <x:c r="H78" s="103" t="n">
        <x:v>46184</x:v>
      </x:c>
      <x:c r="I78" s="85" t="n">
        <x:v>4</x:v>
      </x:c>
      <x:c r="J78" s="85" t="str">
        <x:v>线下</x:v>
      </x:c>
      <x:c r="K78" s="85" t="str">
        <x:v>回购</x:v>
      </x:c>
      <x:c r="L78" s="104" t="n">
        <x:v>11.3</x:v>
      </x:c>
      <x:c r="M78" s="85" t="str">
        <x:v>ZM026022711130209</x:v>
      </x:c>
      <x:c r="N78" s="85" t="str">
        <x:v>FXA26022711201500041</x:v>
      </x:c>
      <x:c r="O78" s="104" t="n">
        <x:v>22.61</x:v>
      </x:c>
      <x:c r="P78" s="104" t="n">
        <x:f>O78-L78</x:f>
        <x:v>11.309999999999999</x:v>
      </x:c>
      <x:c r="Q78" s="105" t="n">
        <x:f>IF(L78=0,"",O78/L78)</x:f>
        <x:v>2.000884955752212</x:v>
      </x:c>
      <x:c r="R78" s="85" t="str">
        <x:v>消费分期P0003账单金额高于嘉泰实收</x:v>
      </x:c>
    </x:row>
    <x:row r="79">
      <x:c r="A79" s="85" t="n">
        <x:v>78</x:v>
      </x:c>
      <x:c r="B79" s="85" t="str">
        <x:v>JLZM026022812575862_4</x:v>
      </x:c>
      <x:c r="C79" s="85" t="str">
        <x:v>FXA26022812570500041</x:v>
      </x:c>
      <x:c r="D79" s="85" t="str">
        <x:v>JZM026022812538327</x:v>
      </x:c>
      <x:c r="E79" s="85" t="str">
        <x:v>JLZM026022812575862</x:v>
      </x:c>
      <x:c r="F79" s="85" t="str">
        <x:v>THJTBL-JSSM-BL2026022800171</x:v>
      </x:c>
      <x:c r="G79" s="85" t="str">
        <x:v>马梓棋</x:v>
      </x:c>
      <x:c r="H79" s="103" t="n">
        <x:v>46184</x:v>
      </x:c>
      <x:c r="I79" s="85" t="n">
        <x:v>4</x:v>
      </x:c>
      <x:c r="J79" s="85" t="str">
        <x:v>线下</x:v>
      </x:c>
      <x:c r="K79" s="85" t="str">
        <x:v>回购</x:v>
      </x:c>
      <x:c r="L79" s="104" t="n">
        <x:v>11.3</x:v>
      </x:c>
      <x:c r="M79" s="85" t="str">
        <x:v>ZM026022812531769</x:v>
      </x:c>
      <x:c r="N79" s="85" t="str">
        <x:v>FXA26022812562800041</x:v>
      </x:c>
      <x:c r="O79" s="104" t="n">
        <x:v>22.61</x:v>
      </x:c>
      <x:c r="P79" s="104" t="n">
        <x:f>O79-L79</x:f>
        <x:v>11.309999999999999</x:v>
      </x:c>
      <x:c r="Q79" s="105" t="n">
        <x:f>IF(L79=0,"",O79/L79)</x:f>
        <x:v>2.000884955752212</x:v>
      </x:c>
      <x:c r="R79" s="85" t="str">
        <x:v>消费分期P0003账单金额高于嘉泰实收</x:v>
      </x:c>
    </x:row>
    <x:row r="80">
      <x:c r="A80" s="85" t="n">
        <x:v>79</x:v>
      </x:c>
      <x:c r="B80" s="85" t="str">
        <x:v>JLZM026022813095543_4</x:v>
      </x:c>
      <x:c r="C80" s="85" t="str">
        <x:v>FXA26022813090700101</x:v>
      </x:c>
      <x:c r="D80" s="85" t="str">
        <x:v>JZM026022813059757</x:v>
      </x:c>
      <x:c r="E80" s="85" t="str">
        <x:v>JLZM026022813095543</x:v>
      </x:c>
      <x:c r="F80" s="85" t="str">
        <x:v>THJTBL-JSSM-BL2026022800174</x:v>
      </x:c>
      <x:c r="G80" s="85" t="str">
        <x:v>王建康</x:v>
      </x:c>
      <x:c r="H80" s="103" t="n">
        <x:v>46184</x:v>
      </x:c>
      <x:c r="I80" s="85" t="n">
        <x:v>4</x:v>
      </x:c>
      <x:c r="J80" s="85" t="str">
        <x:v>线下</x:v>
      </x:c>
      <x:c r="K80" s="85" t="str">
        <x:v>回购</x:v>
      </x:c>
      <x:c r="L80" s="104" t="n">
        <x:v>11.3</x:v>
      </x:c>
      <x:c r="M80" s="85" t="str">
        <x:v>ZM026022813053353</x:v>
      </x:c>
      <x:c r="N80" s="85" t="str">
        <x:v>FXA26022813080700041</x:v>
      </x:c>
      <x:c r="O80" s="104" t="n">
        <x:v>22.61</x:v>
      </x:c>
      <x:c r="P80" s="104" t="n">
        <x:f>O80-L80</x:f>
        <x:v>11.309999999999999</x:v>
      </x:c>
      <x:c r="Q80" s="105" t="n">
        <x:f>IF(L80=0,"",O80/L80)</x:f>
        <x:v>2.000884955752212</x:v>
      </x:c>
      <x:c r="R80" s="85" t="str">
        <x:v>消费分期P0003账单金额高于嘉泰实收</x:v>
      </x:c>
    </x:row>
    <x:row r="81">
      <x:c r="A81" s="85" t="n">
        <x:v>80</x:v>
      </x:c>
      <x:c r="B81" s="85" t="str">
        <x:v>JLZM026022813158504_4</x:v>
      </x:c>
      <x:c r="C81" s="85" t="str">
        <x:v>FXA26022813152600041</x:v>
      </x:c>
      <x:c r="D81" s="85" t="str">
        <x:v>JZM026022813060370</x:v>
      </x:c>
      <x:c r="E81" s="85" t="str">
        <x:v>JLZM026022813158504</x:v>
      </x:c>
      <x:c r="F81" s="85" t="str">
        <x:v>THJTBL-JSSM-BL2026022800175</x:v>
      </x:c>
      <x:c r="G81" s="85" t="str">
        <x:v>王建康</x:v>
      </x:c>
      <x:c r="H81" s="103" t="n">
        <x:v>46184</x:v>
      </x:c>
      <x:c r="I81" s="85" t="n">
        <x:v>4</x:v>
      </x:c>
      <x:c r="J81" s="85" t="str">
        <x:v>线下</x:v>
      </x:c>
      <x:c r="K81" s="85" t="str">
        <x:v>回购</x:v>
      </x:c>
      <x:c r="L81" s="104" t="n">
        <x:v>11.3</x:v>
      </x:c>
      <x:c r="M81" s="85" t="str">
        <x:v>ZM026022813053354</x:v>
      </x:c>
      <x:c r="N81" s="85" t="str">
        <x:v>FXA26022813121000041</x:v>
      </x:c>
      <x:c r="O81" s="104" t="n">
        <x:v>22.61</x:v>
      </x:c>
      <x:c r="P81" s="104" t="n">
        <x:f>O81-L81</x:f>
        <x:v>11.309999999999999</x:v>
      </x:c>
      <x:c r="Q81" s="105" t="n">
        <x:f>IF(L81=0,"",O81/L81)</x:f>
        <x:v>2.000884955752212</x:v>
      </x:c>
      <x:c r="R81" s="85" t="str">
        <x:v>消费分期P0003账单金额高于嘉泰实收</x:v>
      </x:c>
    </x:row>
    <x:row r="82">
      <x:c r="A82" s="85" t="n">
        <x:v>81</x:v>
      </x:c>
      <x:c r="B82" s="85" t="str">
        <x:v>JLZM026022818097849_4</x:v>
      </x:c>
      <x:c r="C82" s="85" t="str">
        <x:v>FXA26022818090500101</x:v>
      </x:c>
      <x:c r="D82" s="85" t="str">
        <x:v>JZM026022818021018</x:v>
      </x:c>
      <x:c r="E82" s="85" t="str">
        <x:v>JLZM026022818097849</x:v>
      </x:c>
      <x:c r="F82" s="85" t="str">
        <x:v>THJTBL-JSSM-BL2026022800440</x:v>
      </x:c>
      <x:c r="G82" s="85" t="str">
        <x:v>谭玉兰</x:v>
      </x:c>
      <x:c r="H82" s="103" t="n">
        <x:v>46184</x:v>
      </x:c>
      <x:c r="I82" s="85" t="n">
        <x:v>4</x:v>
      </x:c>
      <x:c r="J82" s="85" t="str">
        <x:v>线下</x:v>
      </x:c>
      <x:c r="K82" s="85" t="str">
        <x:v>回购</x:v>
      </x:c>
      <x:c r="L82" s="104" t="n">
        <x:v>11.3</x:v>
      </x:c>
      <x:c r="M82" s="85" t="str">
        <x:v>ZM026022818011707</x:v>
      </x:c>
      <x:c r="N82" s="85" t="str">
        <x:v>FXA26022818061200041</x:v>
      </x:c>
      <x:c r="O82" s="104" t="n">
        <x:v>22.61</x:v>
      </x:c>
      <x:c r="P82" s="104" t="n">
        <x:f>O82-L82</x:f>
        <x:v>11.309999999999999</x:v>
      </x:c>
      <x:c r="Q82" s="105" t="n">
        <x:f>IF(L82=0,"",O82/L82)</x:f>
        <x:v>2.000884955752212</x:v>
      </x:c>
      <x:c r="R82" s="85" t="str">
        <x:v>消费分期P0003账单金额高于嘉泰实收</x:v>
      </x:c>
    </x:row>
    <x:row r="83">
      <x:c r="A83" s="85" t="n">
        <x:v>82</x:v>
      </x:c>
      <x:c r="B83" s="85" t="str">
        <x:v>JLZM026022818097850_4</x:v>
      </x:c>
      <x:c r="C83" s="85" t="str">
        <x:v>FXA26022818090600041</x:v>
      </x:c>
      <x:c r="D83" s="85" t="str">
        <x:v>JZM026022818021016</x:v>
      </x:c>
      <x:c r="E83" s="85" t="str">
        <x:v>JLZM026022818097850</x:v>
      </x:c>
      <x:c r="F83" s="85" t="str">
        <x:v>THJTBL-JSSM-BL2026022800444</x:v>
      </x:c>
      <x:c r="G83" s="85" t="str">
        <x:v>谭玉兰</x:v>
      </x:c>
      <x:c r="H83" s="103" t="n">
        <x:v>46184</x:v>
      </x:c>
      <x:c r="I83" s="85" t="n">
        <x:v>4</x:v>
      </x:c>
      <x:c r="J83" s="85" t="str">
        <x:v>线下</x:v>
      </x:c>
      <x:c r="K83" s="85" t="str">
        <x:v>回购</x:v>
      </x:c>
      <x:c r="L83" s="104" t="n">
        <x:v>11.3</x:v>
      </x:c>
      <x:c r="M83" s="85" t="str">
        <x:v>ZM026022818011711</x:v>
      </x:c>
      <x:c r="N83" s="85" t="str">
        <x:v>FXA26022818061600041</x:v>
      </x:c>
      <x:c r="O83" s="104" t="n">
        <x:v>22.61</x:v>
      </x:c>
      <x:c r="P83" s="104" t="n">
        <x:f>O83-L83</x:f>
        <x:v>11.309999999999999</x:v>
      </x:c>
      <x:c r="Q83" s="105" t="n">
        <x:f>IF(L83=0,"",O83/L83)</x:f>
        <x:v>2.000884955752212</x:v>
      </x:c>
      <x:c r="R83" s="85" t="str">
        <x:v>消费分期P0003账单金额高于嘉泰实收</x:v>
      </x:c>
    </x:row>
    <x:row r="84">
      <x:c r="A84" s="85" t="n">
        <x:v>83</x:v>
      </x:c>
      <x:c r="B84" s="85" t="str">
        <x:v>JLZM026032822273976_3</x:v>
      </x:c>
      <x:c r="C84" s="85" t="str">
        <x:v>FXA26032822270600031</x:v>
      </x:c>
      <x:c r="D84" s="85" t="str">
        <x:v>JZM026032822216618</x:v>
      </x:c>
      <x:c r="E84" s="85" t="str">
        <x:v>JLZM026032822273976</x:v>
      </x:c>
      <x:c r="F84" s="85" t="str">
        <x:v>THJTBL-JSSM-BL2026032801948</x:v>
      </x:c>
      <x:c r="G84" s="85" t="str">
        <x:v>曹曼娜</x:v>
      </x:c>
      <x:c r="H84" s="103" t="n">
        <x:v>46184</x:v>
      </x:c>
      <x:c r="I84" s="85" t="n">
        <x:v>3</x:v>
      </x:c>
      <x:c r="J84" s="85" t="str">
        <x:v>线下</x:v>
      </x:c>
      <x:c r="K84" s="85" t="str">
        <x:v>回购</x:v>
      </x:c>
      <x:c r="L84" s="104" t="n">
        <x:v>10.98</x:v>
      </x:c>
      <x:c r="M84" s="85" t="str">
        <x:v>ZM026032822210746</x:v>
      </x:c>
      <x:c r="N84" s="85" t="str">
        <x:v>FXA26032822261900031</x:v>
      </x:c>
      <x:c r="O84" s="104" t="n">
        <x:v>21.96</x:v>
      </x:c>
      <x:c r="P84" s="104" t="n">
        <x:f>O84-L84</x:f>
        <x:v>10.98</x:v>
      </x:c>
      <x:c r="Q84" s="105" t="n">
        <x:f>IF(L84=0,"",O84/L84)</x:f>
        <x:v>2</x:v>
      </x:c>
      <x:c r="R84" s="85" t="str">
        <x:v>消费分期P0003账单金额高于嘉泰实收</x:v>
      </x:c>
    </x:row>
    <x:row r="85">
      <x:c r="A85" s="85" t="n">
        <x:v>84</x:v>
      </x:c>
      <x:c r="B85" s="85" t="str">
        <x:v>JLZM026122916152195_6</x:v>
      </x:c>
      <x:c r="C85" s="85" t="str">
        <x:v>FX026122916150500061</x:v>
      </x:c>
      <x:c r="D85" s="85" t="str">
        <x:v>JZM026122916091329</x:v>
      </x:c>
      <x:c r="E85" s="85" t="str">
        <x:v>JLZM026122916152195</x:v>
      </x:c>
      <x:c r="F85" s="85" t="str">
        <x:v>THJTBL-JSSM-BL2025122900003</x:v>
      </x:c>
      <x:c r="G85" s="85" t="str">
        <x:v>李红玉</x:v>
      </x:c>
      <x:c r="H85" s="103" t="n">
        <x:v>46184</x:v>
      </x:c>
      <x:c r="I85" s="85" t="n">
        <x:v>6</x:v>
      </x:c>
      <x:c r="J85" s="85" t="str">
        <x:v>线下</x:v>
      </x:c>
      <x:c r="K85" s="85" t="str">
        <x:v>回购</x:v>
      </x:c>
      <x:c r="L85" s="104" t="n">
        <x:v>10.48</x:v>
      </x:c>
      <x:c r="M85" s="85" t="str">
        <x:v>ZM026122916098839</x:v>
      </x:c>
      <x:c r="N85" s="85" t="str">
        <x:v>FX025122916141700061</x:v>
      </x:c>
      <x:c r="O85" s="104" t="n">
        <x:v>20.96</x:v>
      </x:c>
      <x:c r="P85" s="104" t="n">
        <x:f>O85-L85</x:f>
        <x:v>10.48</x:v>
      </x:c>
      <x:c r="Q85" s="105" t="n">
        <x:f>IF(L85=0,"",O85/L85)</x:f>
        <x:v>2</x:v>
      </x:c>
      <x:c r="R85" s="85" t="str">
        <x:v>消费分期P0003账单金额高于嘉泰实收</x:v>
      </x:c>
    </x:row>
    <x:row r="86">
      <x:c r="A86" s="85" t="n">
        <x:v>85</x:v>
      </x:c>
      <x:c r="B86" s="85" t="str">
        <x:v>JLZM026031310307534_4</x:v>
      </x:c>
      <x:c r="C86" s="85" t="str">
        <x:v>FXA26031310301400041</x:v>
      </x:c>
      <x:c r="D86" s="85" t="str">
        <x:v>JZM026031310211914</x:v>
      </x:c>
      <x:c r="E86" s="85" t="str">
        <x:v>JLZM026031310307534</x:v>
      </x:c>
      <x:c r="F86" s="85" t="str">
        <x:v>THJTBL-JSSM-BL2026031300059</x:v>
      </x:c>
      <x:c r="G86" s="85" t="str">
        <x:v>李莉</x:v>
      </x:c>
      <x:c r="H86" s="103" t="n">
        <x:v>46184</x:v>
      </x:c>
      <x:c r="I86" s="85" t="n">
        <x:v>4</x:v>
      </x:c>
      <x:c r="J86" s="85" t="str">
        <x:v>线下</x:v>
      </x:c>
      <x:c r="K86" s="85" t="str">
        <x:v>回购</x:v>
      </x:c>
      <x:c r="L86" s="104" t="n">
        <x:v>10.36</x:v>
      </x:c>
      <x:c r="M86" s="85" t="str">
        <x:v>ZM026031310213341</x:v>
      </x:c>
      <x:c r="N86" s="85" t="str">
        <x:v>FXA26031310281800101</x:v>
      </x:c>
      <x:c r="O86" s="104" t="n">
        <x:v>20.72</x:v>
      </x:c>
      <x:c r="P86" s="104" t="n">
        <x:f>O86-L86</x:f>
        <x:v>10.36</x:v>
      </x:c>
      <x:c r="Q86" s="105" t="n">
        <x:f>IF(L86=0,"",O86/L86)</x:f>
        <x:v>2</x:v>
      </x:c>
      <x:c r="R86" s="85" t="str">
        <x:v>消费分期P0003账单金额高于嘉泰实收</x:v>
      </x:c>
    </x:row>
    <x:row r="87">
      <x:c r="A87" s="85" t="n">
        <x:v>86</x:v>
      </x:c>
      <x:c r="B87" s="85" t="str">
        <x:v>JLZM026022719517954_4</x:v>
      </x:c>
      <x:c r="C87" s="85" t="str">
        <x:v>FXA26022719510500041</x:v>
      </x:c>
      <x:c r="D87" s="85" t="str">
        <x:v>JZM026022719465945</x:v>
      </x:c>
      <x:c r="E87" s="85" t="str">
        <x:v>JLZM026022719517954</x:v>
      </x:c>
      <x:c r="F87" s="85" t="str">
        <x:v>THJTBL-JSSM-BL2026022700279</x:v>
      </x:c>
      <x:c r="G87" s="85" t="str">
        <x:v>李香凝</x:v>
      </x:c>
      <x:c r="H87" s="103" t="n">
        <x:v>46184</x:v>
      </x:c>
      <x:c r="I87" s="85" t="n">
        <x:v>4</x:v>
      </x:c>
      <x:c r="J87" s="85" t="str">
        <x:v>线下</x:v>
      </x:c>
      <x:c r="K87" s="85" t="str">
        <x:v>回购</x:v>
      </x:c>
      <x:c r="L87" s="104" t="n">
        <x:v>10.2</x:v>
      </x:c>
      <x:c r="M87" s="85" t="str">
        <x:v>ZM026022719457803</x:v>
      </x:c>
      <x:c r="N87" s="85" t="str">
        <x:v>FXA26022719501600041</x:v>
      </x:c>
      <x:c r="O87" s="104" t="n">
        <x:v>20.41</x:v>
      </x:c>
      <x:c r="P87" s="104" t="n">
        <x:f>O87-L87</x:f>
        <x:v>10.21</x:v>
      </x:c>
      <x:c r="Q87" s="105" t="n">
        <x:f>IF(L87=0,"",O87/L87)</x:f>
        <x:v>2.0009803921568627</x:v>
      </x:c>
      <x:c r="R87" s="85" t="str">
        <x:v>消费分期P0003账单金额高于嘉泰实收</x:v>
      </x:c>
    </x:row>
    <x:row r="88">
      <x:c r="A88" s="85" t="n">
        <x:v>87</x:v>
      </x:c>
      <x:c r="B88" s="85" t="str">
        <x:v>JLZM026022519154841_4</x:v>
      </x:c>
      <x:c r="C88" s="85" t="str">
        <x:v>FXA26022519150600041</x:v>
      </x:c>
      <x:c r="D88" s="85" t="str">
        <x:v>JZM026022519066570</x:v>
      </x:c>
      <x:c r="E88" s="85" t="str">
        <x:v>JLZM026022519154841</x:v>
      </x:c>
      <x:c r="F88" s="85" t="str">
        <x:v>THJTBL-JSSM-BL2026022500829</x:v>
      </x:c>
      <x:c r="G88" s="85" t="str">
        <x:v>马梓棋</x:v>
      </x:c>
      <x:c r="H88" s="103" t="n">
        <x:v>46184</x:v>
      </x:c>
      <x:c r="I88" s="85" t="n">
        <x:v>4</x:v>
      </x:c>
      <x:c r="J88" s="85" t="str">
        <x:v>线下</x:v>
      </x:c>
      <x:c r="K88" s="85" t="str">
        <x:v>回购</x:v>
      </x:c>
      <x:c r="L88" s="104" t="n">
        <x:v>10.17</x:v>
      </x:c>
      <x:c r="M88" s="85" t="str">
        <x:v>ZM026022519051207</x:v>
      </x:c>
      <x:c r="N88" s="85" t="str">
        <x:v>FXA26022519122200041</x:v>
      </x:c>
      <x:c r="O88" s="104" t="n">
        <x:v>20.35</x:v>
      </x:c>
      <x:c r="P88" s="104" t="n">
        <x:f>O88-L88</x:f>
        <x:v>10.180000000000001</x:v>
      </x:c>
      <x:c r="Q88" s="105" t="n">
        <x:f>IF(L88=0,"",O88/L88)</x:f>
        <x:v>2.000983284169125</x:v>
      </x:c>
      <x:c r="R88" s="85" t="str">
        <x:v>消费分期P0003账单金额高于嘉泰实收</x:v>
      </x:c>
    </x:row>
    <x:row r="89">
      <x:c r="A89" s="85" t="n">
        <x:v>88</x:v>
      </x:c>
      <x:c r="B89" s="85" t="str">
        <x:v>JLZM026040320032298_2</x:v>
      </x:c>
      <x:c r="C89" s="85" t="str">
        <x:v>FXA26040320030700021</x:v>
      </x:c>
      <x:c r="D89" s="85" t="str">
        <x:v>JZM026040319574276</x:v>
      </x:c>
      <x:c r="E89" s="85" t="str">
        <x:v>JLZM026040320032298</x:v>
      </x:c>
      <x:c r="F89" s="85" t="str">
        <x:v>THJTBL-JSSM-BL2026040302139</x:v>
      </x:c>
      <x:c r="G89" s="85" t="str">
        <x:v>孟健伟</x:v>
      </x:c>
      <x:c r="H89" s="103" t="n">
        <x:v>46184</x:v>
      </x:c>
      <x:c r="I89" s="85" t="n">
        <x:v>2</x:v>
      </x:c>
      <x:c r="J89" s="85" t="str">
        <x:v>线下</x:v>
      </x:c>
      <x:c r="K89" s="85" t="str">
        <x:v>回购</x:v>
      </x:c>
      <x:c r="L89" s="104" t="n">
        <x:v>10.09</x:v>
      </x:c>
      <x:c r="M89" s="85" t="str">
        <x:v>ZM026040319579989</x:v>
      </x:c>
      <x:c r="N89" s="85" t="str">
        <x:v>FXA26040320022100021</x:v>
      </x:c>
      <x:c r="O89" s="104" t="n">
        <x:v>20.18</x:v>
      </x:c>
      <x:c r="P89" s="104" t="n">
        <x:f>O89-L89</x:f>
        <x:v>10.09</x:v>
      </x:c>
      <x:c r="Q89" s="105" t="n">
        <x:f>IF(L89=0,"",O89/L89)</x:f>
        <x:v>2</x:v>
      </x:c>
      <x:c r="R89" s="85" t="str">
        <x:v>消费分期P0003账单金额高于嘉泰实收</x:v>
      </x:c>
    </x:row>
    <x:row r="90">
      <x:c r="A90" s="85" t="n">
        <x:v>89</x:v>
      </x:c>
      <x:c r="B90" s="85" t="str">
        <x:v>JLZM026022420092678_4</x:v>
      </x:c>
      <x:c r="C90" s="85" t="str">
        <x:v>FXA26022420090600041</x:v>
      </x:c>
      <x:c r="D90" s="85" t="str">
        <x:v>JZM026022420057928</x:v>
      </x:c>
      <x:c r="E90" s="85" t="str">
        <x:v>JLZM026022420092678</x:v>
      </x:c>
      <x:c r="F90" s="85" t="str">
        <x:v>THJTBL-JSSM-BL2026022400369</x:v>
      </x:c>
      <x:c r="G90" s="85" t="str">
        <x:v>马梓棋</x:v>
      </x:c>
      <x:c r="H90" s="103" t="n">
        <x:v>46184</x:v>
      </x:c>
      <x:c r="I90" s="85" t="n">
        <x:v>4</x:v>
      </x:c>
      <x:c r="J90" s="85" t="str">
        <x:v>线下</x:v>
      </x:c>
      <x:c r="K90" s="85" t="str">
        <x:v>回购</x:v>
      </x:c>
      <x:c r="L90" s="104" t="n">
        <x:v>10.06</x:v>
      </x:c>
      <x:c r="M90" s="85" t="str">
        <x:v>ZM026022420054338</x:v>
      </x:c>
      <x:c r="N90" s="85" t="str">
        <x:v>FXA26022420081000041</x:v>
      </x:c>
      <x:c r="O90" s="104" t="n">
        <x:v>20.12</x:v>
      </x:c>
      <x:c r="P90" s="104" t="n">
        <x:f>O90-L90</x:f>
        <x:v>10.06</x:v>
      </x:c>
      <x:c r="Q90" s="105" t="n">
        <x:f>IF(L90=0,"",O90/L90)</x:f>
        <x:v>2</x:v>
      </x:c>
      <x:c r="R90" s="85" t="str">
        <x:v>消费分期P0003账单金额高于嘉泰实收</x:v>
      </x:c>
    </x:row>
    <x:row r="91">
      <x:c r="A91" s="85" t="n">
        <x:v>90</x:v>
      </x:c>
      <x:c r="B91" s="85" t="str">
        <x:v>JLZM026022516574893_4</x:v>
      </x:c>
      <x:c r="C91" s="85" t="str">
        <x:v>FXA26022516571300041</x:v>
      </x:c>
      <x:c r="D91" s="85" t="str">
        <x:v>JZM026022516504374</x:v>
      </x:c>
      <x:c r="E91" s="85" t="str">
        <x:v>JLZM026022516574893</x:v>
      </x:c>
      <x:c r="F91" s="85" t="str">
        <x:v>THJTBL-JSSM-BL2026022500631</x:v>
      </x:c>
      <x:c r="G91" s="85" t="str">
        <x:v>王靖</x:v>
      </x:c>
      <x:c r="H91" s="103" t="n">
        <x:v>46184</x:v>
      </x:c>
      <x:c r="I91" s="85" t="n">
        <x:v>4</x:v>
      </x:c>
      <x:c r="J91" s="85" t="str">
        <x:v>线下</x:v>
      </x:c>
      <x:c r="K91" s="85" t="str">
        <x:v>回购</x:v>
      </x:c>
      <x:c r="L91" s="104" t="n">
        <x:v>9.98</x:v>
      </x:c>
      <x:c r="M91" s="85" t="str">
        <x:v>ZM026022516500303</x:v>
      </x:c>
      <x:c r="N91" s="85" t="str">
        <x:v>FXA26022516543900041</x:v>
      </x:c>
      <x:c r="O91" s="104" t="n">
        <x:v>19.96</x:v>
      </x:c>
      <x:c r="P91" s="104" t="n">
        <x:f>O91-L91</x:f>
        <x:v>9.98</x:v>
      </x:c>
      <x:c r="Q91" s="105" t="n">
        <x:f>IF(L91=0,"",O91/L91)</x:f>
        <x:v>2</x:v>
      </x:c>
      <x:c r="R91" s="85" t="str">
        <x:v>消费分期P0003账单金额高于嘉泰实收</x:v>
      </x:c>
    </x:row>
    <x:row r="92">
      <x:c r="A92" s="85" t="n">
        <x:v>91</x:v>
      </x:c>
      <x:c r="B92" s="85" t="str">
        <x:v>JLZM026032312454439_3</x:v>
      </x:c>
      <x:c r="C92" s="85" t="str">
        <x:v>FXA26032312455500031</x:v>
      </x:c>
      <x:c r="D92" s="85" t="str">
        <x:v>JZM026032312417673</x:v>
      </x:c>
      <x:c r="E92" s="85" t="str">
        <x:v>JLZM026032312454439</x:v>
      </x:c>
      <x:c r="F92" s="85" t="str">
        <x:v>THJTBL-JSSM-BL2026032301375</x:v>
      </x:c>
      <x:c r="G92" s="85" t="str">
        <x:v>陈林雨</x:v>
      </x:c>
      <x:c r="H92" s="103" t="n">
        <x:v>46184</x:v>
      </x:c>
      <x:c r="I92" s="85" t="n">
        <x:v>3</x:v>
      </x:c>
      <x:c r="J92" s="85" t="str">
        <x:v>线下</x:v>
      </x:c>
      <x:c r="K92" s="85" t="str">
        <x:v>回购</x:v>
      </x:c>
      <x:c r="L92" s="104" t="n">
        <x:v>9.41</x:v>
      </x:c>
      <x:c r="M92" s="85" t="str">
        <x:v>ZM026032312410100</x:v>
      </x:c>
      <x:c r="N92" s="85" t="str">
        <x:v>FXA26032312445800031</x:v>
      </x:c>
      <x:c r="O92" s="104" t="n">
        <x:v>18.82</x:v>
      </x:c>
      <x:c r="P92" s="104" t="n">
        <x:f>O92-L92</x:f>
        <x:v>9.41</x:v>
      </x:c>
      <x:c r="Q92" s="105" t="n">
        <x:f>IF(L92=0,"",O92/L92)</x:f>
        <x:v>2</x:v>
      </x:c>
      <x:c r="R92" s="85" t="str">
        <x:v>消费分期P0003账单金额高于嘉泰实收</x:v>
      </x:c>
    </x:row>
    <x:row r="93">
      <x:c r="A93" s="85" t="n">
        <x:v>92</x:v>
      </x:c>
      <x:c r="B93" s="85" t="str">
        <x:v>JLZM026022317217601_4</x:v>
      </x:c>
      <x:c r="C93" s="85" t="str">
        <x:v>FXA26022317210600041</x:v>
      </x:c>
      <x:c r="D93" s="85" t="str">
        <x:v>JZM026022317170332</x:v>
      </x:c>
      <x:c r="E93" s="85" t="str">
        <x:v>JLZM026022317217601</x:v>
      </x:c>
      <x:c r="F93" s="85" t="str">
        <x:v>THJTBL-JSSM-BL2026022300188</x:v>
      </x:c>
      <x:c r="G93" s="85" t="str">
        <x:v>张文绘</x:v>
      </x:c>
      <x:c r="H93" s="103" t="n">
        <x:v>46184</x:v>
      </x:c>
      <x:c r="I93" s="85" t="n">
        <x:v>4</x:v>
      </x:c>
      <x:c r="J93" s="85" t="str">
        <x:v>线下</x:v>
      </x:c>
      <x:c r="K93" s="85" t="str">
        <x:v>回购</x:v>
      </x:c>
      <x:c r="L93" s="104" t="n">
        <x:v>9.21</x:v>
      </x:c>
      <x:c r="M93" s="85" t="str">
        <x:v>ZM026022317179149</x:v>
      </x:c>
      <x:c r="N93" s="85" t="str">
        <x:v>FXA26022317200900041</x:v>
      </x:c>
      <x:c r="O93" s="104" t="n">
        <x:v>18.42</x:v>
      </x:c>
      <x:c r="P93" s="104" t="n">
        <x:f>O93-L93</x:f>
        <x:v>9.21</x:v>
      </x:c>
      <x:c r="Q93" s="105" t="n">
        <x:f>IF(L93=0,"",O93/L93)</x:f>
        <x:v>2</x:v>
      </x:c>
      <x:c r="R93" s="85" t="str">
        <x:v>消费分期P0003账单金额高于嘉泰实收</x:v>
      </x:c>
    </x:row>
    <x:row r="94">
      <x:c r="A94" s="85" t="n">
        <x:v>93</x:v>
      </x:c>
      <x:c r="B94" s="85" t="str">
        <x:v>JLZM026022317217602_4</x:v>
      </x:c>
      <x:c r="C94" s="85" t="str">
        <x:v>FXA26022317210600101</x:v>
      </x:c>
      <x:c r="D94" s="85" t="str">
        <x:v>JZM026022317170331</x:v>
      </x:c>
      <x:c r="E94" s="85" t="str">
        <x:v>JLZM026022317217602</x:v>
      </x:c>
      <x:c r="F94" s="85" t="str">
        <x:v>THJTBL-JSSM-BL2026022300189</x:v>
      </x:c>
      <x:c r="G94" s="85" t="str">
        <x:v>张文绘</x:v>
      </x:c>
      <x:c r="H94" s="103" t="n">
        <x:v>46184</x:v>
      </x:c>
      <x:c r="I94" s="85" t="n">
        <x:v>4</x:v>
      </x:c>
      <x:c r="J94" s="85" t="str">
        <x:v>线下</x:v>
      </x:c>
      <x:c r="K94" s="85" t="str">
        <x:v>回购</x:v>
      </x:c>
      <x:c r="L94" s="104" t="n">
        <x:v>9.21</x:v>
      </x:c>
      <x:c r="M94" s="85" t="str">
        <x:v>ZM026022317179150</x:v>
      </x:c>
      <x:c r="N94" s="85" t="str">
        <x:v>FXA26022317201400041</x:v>
      </x:c>
      <x:c r="O94" s="104" t="n">
        <x:v>18.42</x:v>
      </x:c>
      <x:c r="P94" s="104" t="n">
        <x:f>O94-L94</x:f>
        <x:v>9.21</x:v>
      </x:c>
      <x:c r="Q94" s="105" t="n">
        <x:f>IF(L94=0,"",O94/L94)</x:f>
        <x:v>2</x:v>
      </x:c>
      <x:c r="R94" s="85" t="str">
        <x:v>消费分期P0003账单金额高于嘉泰实收</x:v>
      </x:c>
    </x:row>
    <x:row r="95">
      <x:c r="A95" s="85" t="n">
        <x:v>94</x:v>
      </x:c>
      <x:c r="B95" s="85" t="str">
        <x:v>JLZM026022416573146_4</x:v>
      </x:c>
      <x:c r="C95" s="85" t="str">
        <x:v>FXA26022416570400041</x:v>
      </x:c>
      <x:c r="D95" s="85" t="str">
        <x:v>JZM026022416532774</x:v>
      </x:c>
      <x:c r="E95" s="85" t="str">
        <x:v>JLZM026022416573146</x:v>
      </x:c>
      <x:c r="F95" s="85" t="str">
        <x:v>THJTBL-JSSM-BL2026022400285</x:v>
      </x:c>
      <x:c r="G95" s="85" t="str">
        <x:v>徐璐</x:v>
      </x:c>
      <x:c r="H95" s="103" t="n">
        <x:v>46184</x:v>
      </x:c>
      <x:c r="I95" s="85" t="n">
        <x:v>4</x:v>
      </x:c>
      <x:c r="J95" s="85" t="str">
        <x:v>线下</x:v>
      </x:c>
      <x:c r="K95" s="85" t="str">
        <x:v>回购</x:v>
      </x:c>
      <x:c r="L95" s="104" t="n">
        <x:v>9.21</x:v>
      </x:c>
      <x:c r="M95" s="85" t="str">
        <x:v>ZM026022416533930</x:v>
      </x:c>
      <x:c r="N95" s="85" t="str">
        <x:v>FXA26022416562100041</x:v>
      </x:c>
      <x:c r="O95" s="104" t="n">
        <x:v>18.42</x:v>
      </x:c>
      <x:c r="P95" s="104" t="n">
        <x:f>O95-L95</x:f>
        <x:v>9.21</x:v>
      </x:c>
      <x:c r="Q95" s="105" t="n">
        <x:f>IF(L95=0,"",O95/L95)</x:f>
        <x:v>2</x:v>
      </x:c>
      <x:c r="R95" s="85" t="str">
        <x:v>消费分期P0003账单金额高于嘉泰实收</x:v>
      </x:c>
    </x:row>
    <x:row r="96">
      <x:c r="A96" s="85" t="n">
        <x:v>95</x:v>
      </x:c>
      <x:c r="B96" s="85" t="str">
        <x:v>JLZM026022416573150_4</x:v>
      </x:c>
      <x:c r="C96" s="85" t="str">
        <x:v>FXA26022416570700041</x:v>
      </x:c>
      <x:c r="D96" s="85" t="str">
        <x:v>JZM026022416532773</x:v>
      </x:c>
      <x:c r="E96" s="85" t="str">
        <x:v>JLZM026022416573150</x:v>
      </x:c>
      <x:c r="F96" s="85" t="str">
        <x:v>THJTBL-JSSM-BL2026022400289</x:v>
      </x:c>
      <x:c r="G96" s="85" t="str">
        <x:v>徐璐</x:v>
      </x:c>
      <x:c r="H96" s="103" t="n">
        <x:v>46184</x:v>
      </x:c>
      <x:c r="I96" s="85" t="n">
        <x:v>4</x:v>
      </x:c>
      <x:c r="J96" s="85" t="str">
        <x:v>线下</x:v>
      </x:c>
      <x:c r="K96" s="85" t="str">
        <x:v>回购</x:v>
      </x:c>
      <x:c r="L96" s="104" t="n">
        <x:v>9.21</x:v>
      </x:c>
      <x:c r="M96" s="85" t="str">
        <x:v>ZM026022416533934</x:v>
      </x:c>
      <x:c r="N96" s="85" t="str">
        <x:v>FXA26022416562200041</x:v>
      </x:c>
      <x:c r="O96" s="104" t="n">
        <x:v>18.42</x:v>
      </x:c>
      <x:c r="P96" s="104" t="n">
        <x:f>O96-L96</x:f>
        <x:v>9.21</x:v>
      </x:c>
      <x:c r="Q96" s="105" t="n">
        <x:f>IF(L96=0,"",O96/L96)</x:f>
        <x:v>2</x:v>
      </x:c>
      <x:c r="R96" s="85" t="str">
        <x:v>消费分期P0003账单金额高于嘉泰实收</x:v>
      </x:c>
    </x:row>
    <x:row r="97">
      <x:c r="A97" s="85" t="n">
        <x:v>96</x:v>
      </x:c>
      <x:c r="B97" s="85" t="str">
        <x:v>JLZM026022511157633_4</x:v>
      </x:c>
      <x:c r="C97" s="85" t="str">
        <x:v>FXA26022511150600041</x:v>
      </x:c>
      <x:c r="D97" s="85" t="str">
        <x:v>JZM026022511063075</x:v>
      </x:c>
      <x:c r="E97" s="85" t="str">
        <x:v>JLZM026022511157633</x:v>
      </x:c>
      <x:c r="F97" s="85" t="str">
        <x:v>THJTBL-JSSM-BL2026022500254</x:v>
      </x:c>
      <x:c r="G97" s="85" t="str">
        <x:v>刘慧</x:v>
      </x:c>
      <x:c r="H97" s="103" t="n">
        <x:v>46184</x:v>
      </x:c>
      <x:c r="I97" s="85" t="n">
        <x:v>4</x:v>
      </x:c>
      <x:c r="J97" s="85" t="str">
        <x:v>线下</x:v>
      </x:c>
      <x:c r="K97" s="85" t="str">
        <x:v>回购</x:v>
      </x:c>
      <x:c r="L97" s="104" t="n">
        <x:v>9.21</x:v>
      </x:c>
      <x:c r="M97" s="85" t="str">
        <x:v>ZM026022511064141</x:v>
      </x:c>
      <x:c r="N97" s="85" t="str">
        <x:v>FXA26022511123200041</x:v>
      </x:c>
      <x:c r="O97" s="104" t="n">
        <x:v>18.42</x:v>
      </x:c>
      <x:c r="P97" s="104" t="n">
        <x:f>O97-L97</x:f>
        <x:v>9.21</x:v>
      </x:c>
      <x:c r="Q97" s="105" t="n">
        <x:f>IF(L97=0,"",O97/L97)</x:f>
        <x:v>2</x:v>
      </x:c>
      <x:c r="R97" s="85" t="str">
        <x:v>消费分期P0003账单金额高于嘉泰实收</x:v>
      </x:c>
    </x:row>
    <x:row r="98">
      <x:c r="A98" s="85" t="n">
        <x:v>97</x:v>
      </x:c>
      <x:c r="B98" s="85" t="str">
        <x:v>JLZM026022517331477_4</x:v>
      </x:c>
      <x:c r="C98" s="85" t="str">
        <x:v>FXA26022517331800041</x:v>
      </x:c>
      <x:c r="D98" s="85" t="str">
        <x:v>JZM026022517295500</x:v>
      </x:c>
      <x:c r="E98" s="85" t="str">
        <x:v>JLZM026022517331477</x:v>
      </x:c>
      <x:c r="F98" s="85" t="str">
        <x:v>THJTBL-JSSM-BL2026022500732</x:v>
      </x:c>
      <x:c r="G98" s="85" t="str">
        <x:v>刁丹</x:v>
      </x:c>
      <x:c r="H98" s="103" t="n">
        <x:v>46184</x:v>
      </x:c>
      <x:c r="I98" s="85" t="n">
        <x:v>4</x:v>
      </x:c>
      <x:c r="J98" s="85" t="str">
        <x:v>线下</x:v>
      </x:c>
      <x:c r="K98" s="85" t="str">
        <x:v>回购</x:v>
      </x:c>
      <x:c r="L98" s="104" t="n">
        <x:v>9.21</x:v>
      </x:c>
      <x:c r="M98" s="85" t="str">
        <x:v>ZM026022517295030</x:v>
      </x:c>
      <x:c r="N98" s="85" t="str">
        <x:v>FXA26022517321700041</x:v>
      </x:c>
      <x:c r="O98" s="104" t="n">
        <x:v>18.42</x:v>
      </x:c>
      <x:c r="P98" s="104" t="n">
        <x:f>O98-L98</x:f>
        <x:v>9.21</x:v>
      </x:c>
      <x:c r="Q98" s="105" t="n">
        <x:f>IF(L98=0,"",O98/L98)</x:f>
        <x:v>2</x:v>
      </x:c>
      <x:c r="R98" s="85" t="str">
        <x:v>消费分期P0003账单金额高于嘉泰实收</x:v>
      </x:c>
    </x:row>
    <x:row r="99">
      <x:c r="A99" s="85" t="n">
        <x:v>98</x:v>
      </x:c>
      <x:c r="B99" s="85" t="str">
        <x:v>JLZM026022517331480_4</x:v>
      </x:c>
      <x:c r="C99" s="85" t="str">
        <x:v>FXA26022517332000041</x:v>
      </x:c>
      <x:c r="D99" s="85" t="str">
        <x:v>JZM026022517295506</x:v>
      </x:c>
      <x:c r="E99" s="85" t="str">
        <x:v>JLZM026022517331480</x:v>
      </x:c>
      <x:c r="F99" s="85" t="str">
        <x:v>THJTBL-JSSM-BL2026022500737</x:v>
      </x:c>
      <x:c r="G99" s="85" t="str">
        <x:v>刁丹</x:v>
      </x:c>
      <x:c r="H99" s="103" t="n">
        <x:v>46184</x:v>
      </x:c>
      <x:c r="I99" s="85" t="n">
        <x:v>4</x:v>
      </x:c>
      <x:c r="J99" s="85" t="str">
        <x:v>线下</x:v>
      </x:c>
      <x:c r="K99" s="85" t="str">
        <x:v>回购</x:v>
      </x:c>
      <x:c r="L99" s="104" t="n">
        <x:v>9.21</x:v>
      </x:c>
      <x:c r="M99" s="85" t="str">
        <x:v>ZM026022517295035</x:v>
      </x:c>
      <x:c r="N99" s="85" t="str">
        <x:v>FXA26022517322400041</x:v>
      </x:c>
      <x:c r="O99" s="104" t="n">
        <x:v>18.42</x:v>
      </x:c>
      <x:c r="P99" s="104" t="n">
        <x:f>O99-L99</x:f>
        <x:v>9.21</x:v>
      </x:c>
      <x:c r="Q99" s="105" t="n">
        <x:f>IF(L99=0,"",O99/L99)</x:f>
        <x:v>2</x:v>
      </x:c>
      <x:c r="R99" s="85" t="str">
        <x:v>消费分期P0003账单金额高于嘉泰实收</x:v>
      </x:c>
    </x:row>
    <x:row r="100">
      <x:c r="A100" s="85" t="n">
        <x:v>99</x:v>
      </x:c>
      <x:c r="B100" s="85" t="str">
        <x:v>JLZM026022601219753_4</x:v>
      </x:c>
      <x:c r="C100" s="85" t="str">
        <x:v>FXA26022601210500041</x:v>
      </x:c>
      <x:c r="D100" s="85" t="str">
        <x:v>JZM026022601189950</x:v>
      </x:c>
      <x:c r="E100" s="85" t="str">
        <x:v>JLZM026022601219753</x:v>
      </x:c>
      <x:c r="F100" s="85" t="str">
        <x:v>THJTBL-JSSM-BL2026022600005</x:v>
      </x:c>
      <x:c r="G100" s="85" t="str">
        <x:v>周晴晴</x:v>
      </x:c>
      <x:c r="H100" s="103" t="n">
        <x:v>46184</x:v>
      </x:c>
      <x:c r="I100" s="85" t="n">
        <x:v>4</x:v>
      </x:c>
      <x:c r="J100" s="85" t="str">
        <x:v>线下</x:v>
      </x:c>
      <x:c r="K100" s="85" t="str">
        <x:v>回购</x:v>
      </x:c>
      <x:c r="L100" s="104" t="n">
        <x:v>9.21</x:v>
      </x:c>
      <x:c r="M100" s="85" t="str">
        <x:v>ZM026022601172617</x:v>
      </x:c>
      <x:c r="N100" s="85" t="str">
        <x:v>FXA26022601205200041</x:v>
      </x:c>
      <x:c r="O100" s="104" t="n">
        <x:v>18.42</x:v>
      </x:c>
      <x:c r="P100" s="104" t="n">
        <x:f>O100-L100</x:f>
        <x:v>9.21</x:v>
      </x:c>
      <x:c r="Q100" s="105" t="n">
        <x:f>IF(L100=0,"",O100/L100)</x:f>
        <x:v>2</x:v>
      </x:c>
      <x:c r="R100" s="85" t="str">
        <x:v>消费分期P0003账单金额高于嘉泰实收</x:v>
      </x:c>
    </x:row>
    <x:row r="101">
      <x:c r="A101" s="85" t="n">
        <x:v>100</x:v>
      </x:c>
      <x:c r="B101" s="85" t="str">
        <x:v>JLZM026022616090309_4</x:v>
      </x:c>
      <x:c r="C101" s="85" t="str">
        <x:v>FXA26022616090500041</x:v>
      </x:c>
      <x:c r="D101" s="85" t="str">
        <x:v>JZM026022616023614</x:v>
      </x:c>
      <x:c r="E101" s="85" t="str">
        <x:v>JLZM026022616090309</x:v>
      </x:c>
      <x:c r="F101" s="85" t="str">
        <x:v>THJTBL-JSSM-BL2026022600185</x:v>
      </x:c>
      <x:c r="G101" s="85" t="str">
        <x:v>刘力赫</x:v>
      </x:c>
      <x:c r="H101" s="103" t="n">
        <x:v>46184</x:v>
      </x:c>
      <x:c r="I101" s="85" t="n">
        <x:v>4</x:v>
      </x:c>
      <x:c r="J101" s="85" t="str">
        <x:v>线下</x:v>
      </x:c>
      <x:c r="K101" s="85" t="str">
        <x:v>回购</x:v>
      </x:c>
      <x:c r="L101" s="104" t="n">
        <x:v>9.21</x:v>
      </x:c>
      <x:c r="M101" s="85" t="str">
        <x:v>ZM026022616014856</x:v>
      </x:c>
      <x:c r="N101" s="85" t="str">
        <x:v>FXA26022616061400041</x:v>
      </x:c>
      <x:c r="O101" s="104" t="n">
        <x:v>18.42</x:v>
      </x:c>
      <x:c r="P101" s="104" t="n">
        <x:f>O101-L101</x:f>
        <x:v>9.21</x:v>
      </x:c>
      <x:c r="Q101" s="105" t="n">
        <x:f>IF(L101=0,"",O101/L101)</x:f>
        <x:v>2</x:v>
      </x:c>
      <x:c r="R101" s="85" t="str">
        <x:v>消费分期P0003账单金额高于嘉泰实收</x:v>
      </x:c>
    </x:row>
    <x:row r="102">
      <x:c r="A102" s="85" t="n">
        <x:v>101</x:v>
      </x:c>
      <x:c r="B102" s="85" t="str">
        <x:v>JLZM026022616090310_4</x:v>
      </x:c>
      <x:c r="C102" s="85" t="str">
        <x:v>FXA26022616090500101</x:v>
      </x:c>
      <x:c r="D102" s="85" t="str">
        <x:v>JZM026022616023613</x:v>
      </x:c>
      <x:c r="E102" s="85" t="str">
        <x:v>JLZM026022616090310</x:v>
      </x:c>
      <x:c r="F102" s="85" t="str">
        <x:v>THJTBL-JSSM-BL2026022600186</x:v>
      </x:c>
      <x:c r="G102" s="85" t="str">
        <x:v>刘力赫</x:v>
      </x:c>
      <x:c r="H102" s="103" t="n">
        <x:v>46184</x:v>
      </x:c>
      <x:c r="I102" s="85" t="n">
        <x:v>4</x:v>
      </x:c>
      <x:c r="J102" s="85" t="str">
        <x:v>线下</x:v>
      </x:c>
      <x:c r="K102" s="85" t="str">
        <x:v>回购</x:v>
      </x:c>
      <x:c r="L102" s="104" t="n">
        <x:v>9.21</x:v>
      </x:c>
      <x:c r="M102" s="85" t="str">
        <x:v>ZM026022616014857</x:v>
      </x:c>
      <x:c r="N102" s="85" t="str">
        <x:v>FXA26022616061800041</x:v>
      </x:c>
      <x:c r="O102" s="104" t="n">
        <x:v>18.42</x:v>
      </x:c>
      <x:c r="P102" s="104" t="n">
        <x:f>O102-L102</x:f>
        <x:v>9.21</x:v>
      </x:c>
      <x:c r="Q102" s="105" t="n">
        <x:f>IF(L102=0,"",O102/L102)</x:f>
        <x:v>2</x:v>
      </x:c>
      <x:c r="R102" s="85" t="str">
        <x:v>消费分期P0003账单金额高于嘉泰实收</x:v>
      </x:c>
    </x:row>
    <x:row r="103">
      <x:c r="A103" s="85" t="n">
        <x:v>102</x:v>
      </x:c>
      <x:c r="B103" s="85" t="str">
        <x:v>JLZM026022622031330_4</x:v>
      </x:c>
      <x:c r="C103" s="85" t="str">
        <x:v>FXA26022622030500041</x:v>
      </x:c>
      <x:c r="D103" s="85" t="str">
        <x:v>JZM026022621576201</x:v>
      </x:c>
      <x:c r="E103" s="85" t="str">
        <x:v>JLZM026022622031330</x:v>
      </x:c>
      <x:c r="F103" s="85" t="str">
        <x:v>THJTBL-JSSM-BL2026022600283</x:v>
      </x:c>
      <x:c r="G103" s="85" t="str">
        <x:v>赖文鑫</x:v>
      </x:c>
      <x:c r="H103" s="103" t="n">
        <x:v>46184</x:v>
      </x:c>
      <x:c r="I103" s="85" t="n">
        <x:v>4</x:v>
      </x:c>
      <x:c r="J103" s="85" t="str">
        <x:v>线下</x:v>
      </x:c>
      <x:c r="K103" s="85" t="str">
        <x:v>回购</x:v>
      </x:c>
      <x:c r="L103" s="104" t="n">
        <x:v>9.21</x:v>
      </x:c>
      <x:c r="M103" s="85" t="str">
        <x:v>ZM026022621579842</x:v>
      </x:c>
      <x:c r="N103" s="85" t="str">
        <x:v>FXA26022622022300041</x:v>
      </x:c>
      <x:c r="O103" s="104" t="n">
        <x:v>18.42</x:v>
      </x:c>
      <x:c r="P103" s="104" t="n">
        <x:f>O103-L103</x:f>
        <x:v>9.21</x:v>
      </x:c>
      <x:c r="Q103" s="105" t="n">
        <x:f>IF(L103=0,"",O103/L103)</x:f>
        <x:v>2</x:v>
      </x:c>
      <x:c r="R103" s="85" t="str">
        <x:v>消费分期P0003账单金额高于嘉泰实收</x:v>
      </x:c>
    </x:row>
    <x:row r="104">
      <x:c r="A104" s="85" t="n">
        <x:v>103</x:v>
      </x:c>
      <x:c r="B104" s="85" t="str">
        <x:v>JLZM026022811271625_4</x:v>
      </x:c>
      <x:c r="C104" s="85" t="str">
        <x:v>FXA26022811270500101</x:v>
      </x:c>
      <x:c r="D104" s="85" t="str">
        <x:v>JZM026022811218516</x:v>
      </x:c>
      <x:c r="E104" s="85" t="str">
        <x:v>JLZM026022811271625</x:v>
      </x:c>
      <x:c r="F104" s="85" t="str">
        <x:v>THJTBL-JSSM-BL2026022800127</x:v>
      </x:c>
      <x:c r="G104" s="85" t="str">
        <x:v>林晶晶</x:v>
      </x:c>
      <x:c r="H104" s="103" t="n">
        <x:v>46184</x:v>
      </x:c>
      <x:c r="I104" s="85" t="n">
        <x:v>4</x:v>
      </x:c>
      <x:c r="J104" s="85" t="str">
        <x:v>线下</x:v>
      </x:c>
      <x:c r="K104" s="85" t="str">
        <x:v>回购</x:v>
      </x:c>
      <x:c r="L104" s="104" t="n">
        <x:v>9.21</x:v>
      </x:c>
      <x:c r="M104" s="85" t="str">
        <x:v>ZM026022811217746</x:v>
      </x:c>
      <x:c r="N104" s="85" t="str">
        <x:v>FXA26022811261800041</x:v>
      </x:c>
      <x:c r="O104" s="104" t="n">
        <x:v>18.42</x:v>
      </x:c>
      <x:c r="P104" s="104" t="n">
        <x:f>O104-L104</x:f>
        <x:v>9.21</x:v>
      </x:c>
      <x:c r="Q104" s="105" t="n">
        <x:f>IF(L104=0,"",O104/L104)</x:f>
        <x:v>2</x:v>
      </x:c>
      <x:c r="R104" s="85" t="str">
        <x:v>消费分期P0003账单金额高于嘉泰实收</x:v>
      </x:c>
    </x:row>
    <x:row r="105">
      <x:c r="A105" s="85" t="n">
        <x:v>104</x:v>
      </x:c>
      <x:c r="B105" s="85" t="str">
        <x:v>JLZM026022811307002_4</x:v>
      </x:c>
      <x:c r="C105" s="85" t="str">
        <x:v>FXA26022811300800041</x:v>
      </x:c>
      <x:c r="D105" s="85" t="str">
        <x:v>JZM026022811218513</x:v>
      </x:c>
      <x:c r="E105" s="85" t="str">
        <x:v>JLZM026022811307002</x:v>
      </x:c>
      <x:c r="F105" s="85" t="str">
        <x:v>THJTBL-JSSM-BL2026022800123</x:v>
      </x:c>
      <x:c r="G105" s="85" t="str">
        <x:v>林晶晶</x:v>
      </x:c>
      <x:c r="H105" s="103" t="n">
        <x:v>46184</x:v>
      </x:c>
      <x:c r="I105" s="85" t="n">
        <x:v>4</x:v>
      </x:c>
      <x:c r="J105" s="85" t="str">
        <x:v>线下</x:v>
      </x:c>
      <x:c r="K105" s="85" t="str">
        <x:v>回购</x:v>
      </x:c>
      <x:c r="L105" s="104" t="n">
        <x:v>9.21</x:v>
      </x:c>
      <x:c r="M105" s="85" t="str">
        <x:v>ZM026022811217742</x:v>
      </x:c>
      <x:c r="N105" s="85" t="str">
        <x:v>FXA26022811281000041</x:v>
      </x:c>
      <x:c r="O105" s="104" t="n">
        <x:v>18.42</x:v>
      </x:c>
      <x:c r="P105" s="104" t="n">
        <x:f>O105-L105</x:f>
        <x:v>9.21</x:v>
      </x:c>
      <x:c r="Q105" s="105" t="n">
        <x:f>IF(L105=0,"",O105/L105)</x:f>
        <x:v>2</x:v>
      </x:c>
      <x:c r="R105" s="85" t="str">
        <x:v>消费分期P0003账单金额高于嘉泰实收</x:v>
      </x:c>
    </x:row>
    <x:row r="106">
      <x:c r="A106" s="85" t="n">
        <x:v>105</x:v>
      </x:c>
      <x:c r="B106" s="85" t="str">
        <x:v>JLZM026022818097852_4</x:v>
      </x:c>
      <x:c r="C106" s="85" t="str">
        <x:v>FXA26022818090700101</x:v>
      </x:c>
      <x:c r="D106" s="85" t="str">
        <x:v>JZM026022818021010</x:v>
      </x:c>
      <x:c r="E106" s="85" t="str">
        <x:v>JLZM026022818097852</x:v>
      </x:c>
      <x:c r="F106" s="85" t="str">
        <x:v>THJTBL-JSSM-BL2026022800441</x:v>
      </x:c>
      <x:c r="G106" s="85" t="str">
        <x:v>朱成哲</x:v>
      </x:c>
      <x:c r="H106" s="103" t="n">
        <x:v>46184</x:v>
      </x:c>
      <x:c r="I106" s="85" t="n">
        <x:v>4</x:v>
      </x:c>
      <x:c r="J106" s="85" t="str">
        <x:v>线下</x:v>
      </x:c>
      <x:c r="K106" s="85" t="str">
        <x:v>回购</x:v>
      </x:c>
      <x:c r="L106" s="104" t="n">
        <x:v>9.12</x:v>
      </x:c>
      <x:c r="M106" s="85" t="str">
        <x:v>ZM026022818011708</x:v>
      </x:c>
      <x:c r="N106" s="85" t="str">
        <x:v>FXA26022818061900041</x:v>
      </x:c>
      <x:c r="O106" s="104" t="n">
        <x:v>18.24</x:v>
      </x:c>
      <x:c r="P106" s="104" t="n">
        <x:f>O106-L106</x:f>
        <x:v>9.12</x:v>
      </x:c>
      <x:c r="Q106" s="105" t="n">
        <x:f>IF(L106=0,"",O106/L106)</x:f>
        <x:v>2</x:v>
      </x:c>
      <x:c r="R106" s="85" t="str">
        <x:v>消费分期P0003账单金额高于嘉泰实收</x:v>
      </x:c>
    </x:row>
    <x:row r="107">
      <x:c r="A107" s="85" t="n">
        <x:v>106</x:v>
      </x:c>
      <x:c r="B107" s="85" t="str">
        <x:v>JLZM026022517331469_4</x:v>
      </x:c>
      <x:c r="C107" s="85" t="str">
        <x:v>FXA26022517330700161</x:v>
      </x:c>
      <x:c r="D107" s="85" t="str">
        <x:v>JZM026022517268251</x:v>
      </x:c>
      <x:c r="E107" s="85" t="str">
        <x:v>JLZM026022517331469</x:v>
      </x:c>
      <x:c r="F107" s="85" t="str">
        <x:v>THJTBL-JSSM-BL2026022500727</x:v>
      </x:c>
      <x:c r="G107" s="85" t="str">
        <x:v>刁丹</x:v>
      </x:c>
      <x:c r="H107" s="103" t="n">
        <x:v>46184</x:v>
      </x:c>
      <x:c r="I107" s="85" t="n">
        <x:v>4</x:v>
      </x:c>
      <x:c r="J107" s="85" t="str">
        <x:v>线下</x:v>
      </x:c>
      <x:c r="K107" s="85" t="str">
        <x:v>回购</x:v>
      </x:c>
      <x:c r="L107" s="104" t="n">
        <x:v>8.29</x:v>
      </x:c>
      <x:c r="M107" s="85" t="str">
        <x:v>ZM026022517263125</x:v>
      </x:c>
      <x:c r="N107" s="85" t="str">
        <x:v>FXA26022517303700041</x:v>
      </x:c>
      <x:c r="O107" s="104" t="n">
        <x:v>16.58</x:v>
      </x:c>
      <x:c r="P107" s="104" t="n">
        <x:f>O107-L107</x:f>
        <x:v>8.29</x:v>
      </x:c>
      <x:c r="Q107" s="105" t="n">
        <x:f>IF(L107=0,"",O107/L107)</x:f>
        <x:v>2</x:v>
      </x:c>
      <x:c r="R107" s="85" t="str">
        <x:v>消费分期P0003账单金额高于嘉泰实收</x:v>
      </x:c>
    </x:row>
    <x:row r="108">
      <x:c r="A108" s="85" t="n">
        <x:v>107</x:v>
      </x:c>
      <x:c r="B108" s="85" t="str">
        <x:v>JLZM026022517331479_4</x:v>
      </x:c>
      <x:c r="C108" s="85" t="str">
        <x:v>FXA26022517331900041</x:v>
      </x:c>
      <x:c r="D108" s="85" t="str">
        <x:v>JZM026022517295502</x:v>
      </x:c>
      <x:c r="E108" s="85" t="str">
        <x:v>JLZM026022517331479</x:v>
      </x:c>
      <x:c r="F108" s="85" t="str">
        <x:v>THJTBL-JSSM-BL2026022500735</x:v>
      </x:c>
      <x:c r="G108" s="85" t="str">
        <x:v>刁丹</x:v>
      </x:c>
      <x:c r="H108" s="103" t="n">
        <x:v>46184</x:v>
      </x:c>
      <x:c r="I108" s="85" t="n">
        <x:v>4</x:v>
      </x:c>
      <x:c r="J108" s="85" t="str">
        <x:v>线下</x:v>
      </x:c>
      <x:c r="K108" s="85" t="str">
        <x:v>回购</x:v>
      </x:c>
      <x:c r="L108" s="104" t="n">
        <x:v>8.29</x:v>
      </x:c>
      <x:c r="M108" s="85" t="str">
        <x:v>ZM026022517295033</x:v>
      </x:c>
      <x:c r="N108" s="85" t="str">
        <x:v>FXA26022517322100041</x:v>
      </x:c>
      <x:c r="O108" s="104" t="n">
        <x:v>16.58</x:v>
      </x:c>
      <x:c r="P108" s="104" t="n">
        <x:f>O108-L108</x:f>
        <x:v>8.29</x:v>
      </x:c>
      <x:c r="Q108" s="105" t="n">
        <x:f>IF(L108=0,"",O108/L108)</x:f>
        <x:v>2</x:v>
      </x:c>
      <x:c r="R108" s="85" t="str">
        <x:v>消费分期P0003账单金额高于嘉泰实收</x:v>
      </x:c>
    </x:row>
    <x:row r="109">
      <x:c r="A109" s="85" t="n">
        <x:v>108</x:v>
      </x:c>
      <x:c r="B109" s="85" t="str">
        <x:v>JLZM026022517425458_4</x:v>
      </x:c>
      <x:c r="C109" s="85" t="str">
        <x:v>FXA26022517420500101</x:v>
      </x:c>
      <x:c r="D109" s="85" t="str">
        <x:v>JZM026022517336294</x:v>
      </x:c>
      <x:c r="E109" s="85" t="str">
        <x:v>JLZM026022517425458</x:v>
      </x:c>
      <x:c r="F109" s="85" t="str">
        <x:v>THJTBL-JSSM-BL2026022500743</x:v>
      </x:c>
      <x:c r="G109" s="85" t="str">
        <x:v>刁丹</x:v>
      </x:c>
      <x:c r="H109" s="103" t="n">
        <x:v>46184</x:v>
      </x:c>
      <x:c r="I109" s="85" t="n">
        <x:v>4</x:v>
      </x:c>
      <x:c r="J109" s="85" t="str">
        <x:v>线下</x:v>
      </x:c>
      <x:c r="K109" s="85" t="str">
        <x:v>回购</x:v>
      </x:c>
      <x:c r="L109" s="104" t="n">
        <x:v>8.29</x:v>
      </x:c>
      <x:c r="M109" s="85" t="str">
        <x:v>ZM026022517338953</x:v>
      </x:c>
      <x:c r="N109" s="85" t="str">
        <x:v>FXA26022517404800041</x:v>
      </x:c>
      <x:c r="O109" s="104" t="n">
        <x:v>16.58</x:v>
      </x:c>
      <x:c r="P109" s="104" t="n">
        <x:f>O109-L109</x:f>
        <x:v>8.29</x:v>
      </x:c>
      <x:c r="Q109" s="105" t="n">
        <x:f>IF(L109=0,"",O109/L109)</x:f>
        <x:v>2</x:v>
      </x:c>
      <x:c r="R109" s="85" t="str">
        <x:v>消费分期P0003账单金额高于嘉泰实收</x:v>
      </x:c>
    </x:row>
    <x:row r="110">
      <x:c r="A110" s="85" t="n">
        <x:v>109</x:v>
      </x:c>
      <x:c r="B110" s="85" t="str">
        <x:v>JLZM026022616090312_4</x:v>
      </x:c>
      <x:c r="C110" s="85" t="str">
        <x:v>FXA26022616090600101</x:v>
      </x:c>
      <x:c r="D110" s="85" t="str">
        <x:v>JZM026022616054064</x:v>
      </x:c>
      <x:c r="E110" s="85" t="str">
        <x:v>JLZM026022616090312</x:v>
      </x:c>
      <x:c r="F110" s="85" t="str">
        <x:v>THJTBL-JSSM-BL2026022600188</x:v>
      </x:c>
      <x:c r="G110" s="85" t="str">
        <x:v>刘力赫</x:v>
      </x:c>
      <x:c r="H110" s="103" t="n">
        <x:v>46184</x:v>
      </x:c>
      <x:c r="I110" s="85" t="n">
        <x:v>4</x:v>
      </x:c>
      <x:c r="J110" s="85" t="str">
        <x:v>线下</x:v>
      </x:c>
      <x:c r="K110" s="85" t="str">
        <x:v>回购</x:v>
      </x:c>
      <x:c r="L110" s="104" t="n">
        <x:v>8.29</x:v>
      </x:c>
      <x:c r="M110" s="85" t="str">
        <x:v>ZM026022616056343</x:v>
      </x:c>
      <x:c r="N110" s="85" t="str">
        <x:v>FXA26022616081400041</x:v>
      </x:c>
      <x:c r="O110" s="104" t="n">
        <x:v>16.58</x:v>
      </x:c>
      <x:c r="P110" s="104" t="n">
        <x:f>O110-L110</x:f>
        <x:v>8.29</x:v>
      </x:c>
      <x:c r="Q110" s="105" t="n">
        <x:f>IF(L110=0,"",O110/L110)</x:f>
        <x:v>2</x:v>
      </x:c>
      <x:c r="R110" s="85" t="str">
        <x:v>消费分期P0003账单金额高于嘉泰实收</x:v>
      </x:c>
    </x:row>
    <x:row r="111">
      <x:c r="A111" s="85" t="n">
        <x:v>110</x:v>
      </x:c>
      <x:c r="B111" s="85" t="str">
        <x:v>JLZM026022714452637_4</x:v>
      </x:c>
      <x:c r="C111" s="85" t="str">
        <x:v>FXA26022714450600041</x:v>
      </x:c>
      <x:c r="D111" s="85" t="str">
        <x:v>JZM026022714378633</x:v>
      </x:c>
      <x:c r="E111" s="85" t="str">
        <x:v>JLZM026022714452637</x:v>
      </x:c>
      <x:c r="F111" s="85" t="str">
        <x:v>THJTBL-JSSM-BL2026022700142</x:v>
      </x:c>
      <x:c r="G111" s="85" t="str">
        <x:v>刘国惠</x:v>
      </x:c>
      <x:c r="H111" s="103" t="n">
        <x:v>46184</x:v>
      </x:c>
      <x:c r="I111" s="85" t="n">
        <x:v>4</x:v>
      </x:c>
      <x:c r="J111" s="85" t="str">
        <x:v>线下</x:v>
      </x:c>
      <x:c r="K111" s="85" t="str">
        <x:v>回购</x:v>
      </x:c>
      <x:c r="L111" s="104" t="n">
        <x:v>8.29</x:v>
      </x:c>
      <x:c r="M111" s="85" t="str">
        <x:v>ZM026022714374766</x:v>
      </x:c>
      <x:c r="N111" s="85" t="str">
        <x:v>FXA26022714422600041</x:v>
      </x:c>
      <x:c r="O111" s="104" t="n">
        <x:v>16.58</x:v>
      </x:c>
      <x:c r="P111" s="104" t="n">
        <x:f>O111-L111</x:f>
        <x:v>8.29</x:v>
      </x:c>
      <x:c r="Q111" s="105" t="n">
        <x:f>IF(L111=0,"",O111/L111)</x:f>
        <x:v>2</x:v>
      </x:c>
      <x:c r="R111" s="85" t="str">
        <x:v>消费分期P0003账单金额高于嘉泰实收</x:v>
      </x:c>
    </x:row>
    <x:row r="112">
      <x:c r="A112" s="85" t="n">
        <x:v>111</x:v>
      </x:c>
      <x:c r="B112" s="85" t="str">
        <x:v>JLZM026022811271624_4</x:v>
      </x:c>
      <x:c r="C112" s="85" t="str">
        <x:v>FXA26022811270500041</x:v>
      </x:c>
      <x:c r="D112" s="85" t="str">
        <x:v>JZM026022811218515</x:v>
      </x:c>
      <x:c r="E112" s="85" t="str">
        <x:v>JLZM026022811271624</x:v>
      </x:c>
      <x:c r="F112" s="85" t="str">
        <x:v>THJTBL-JSSM-BL2026022800126</x:v>
      </x:c>
      <x:c r="G112" s="85" t="str">
        <x:v>林晶晶</x:v>
      </x:c>
      <x:c r="H112" s="103" t="n">
        <x:v>46184</x:v>
      </x:c>
      <x:c r="I112" s="85" t="n">
        <x:v>4</x:v>
      </x:c>
      <x:c r="J112" s="85" t="str">
        <x:v>线下</x:v>
      </x:c>
      <x:c r="K112" s="85" t="str">
        <x:v>回购</x:v>
      </x:c>
      <x:c r="L112" s="104" t="n">
        <x:v>8.29</x:v>
      </x:c>
      <x:c r="M112" s="85" t="str">
        <x:v>ZM026022811217745</x:v>
      </x:c>
      <x:c r="N112" s="85" t="str">
        <x:v>FXA26022811261400041</x:v>
      </x:c>
      <x:c r="O112" s="104" t="n">
        <x:v>16.58</x:v>
      </x:c>
      <x:c r="P112" s="104" t="n">
        <x:f>O112-L112</x:f>
        <x:v>8.29</x:v>
      </x:c>
      <x:c r="Q112" s="105" t="n">
        <x:f>IF(L112=0,"",O112/L112)</x:f>
        <x:v>2</x:v>
      </x:c>
      <x:c r="R112" s="85" t="str">
        <x:v>消费分期P0003账单金额高于嘉泰实收</x:v>
      </x:c>
    </x:row>
    <x:row r="113">
      <x:c r="A113" s="85" t="n">
        <x:v>112</x:v>
      </x:c>
      <x:c r="B113" s="85" t="str">
        <x:v>JLZM026022811307003_4</x:v>
      </x:c>
      <x:c r="C113" s="85" t="str">
        <x:v>FXA26022811300800101</x:v>
      </x:c>
      <x:c r="D113" s="85" t="str">
        <x:v>JZM026022811218514</x:v>
      </x:c>
      <x:c r="E113" s="85" t="str">
        <x:v>JLZM026022811307003</x:v>
      </x:c>
      <x:c r="F113" s="85" t="str">
        <x:v>THJTBL-JSSM-BL2026022800125</x:v>
      </x:c>
      <x:c r="G113" s="85" t="str">
        <x:v>林晶晶</x:v>
      </x:c>
      <x:c r="H113" s="103" t="n">
        <x:v>46184</x:v>
      </x:c>
      <x:c r="I113" s="85" t="n">
        <x:v>4</x:v>
      </x:c>
      <x:c r="J113" s="85" t="str">
        <x:v>线下</x:v>
      </x:c>
      <x:c r="K113" s="85" t="str">
        <x:v>回购</x:v>
      </x:c>
      <x:c r="L113" s="104" t="n">
        <x:v>8.29</x:v>
      </x:c>
      <x:c r="M113" s="85" t="str">
        <x:v>ZM026022811217744</x:v>
      </x:c>
      <x:c r="N113" s="85" t="str">
        <x:v>FXA26022811281400041</x:v>
      </x:c>
      <x:c r="O113" s="104" t="n">
        <x:v>16.58</x:v>
      </x:c>
      <x:c r="P113" s="104" t="n">
        <x:f>O113-L113</x:f>
        <x:v>8.29</x:v>
      </x:c>
      <x:c r="Q113" s="105" t="n">
        <x:f>IF(L113=0,"",O113/L113)</x:f>
        <x:v>2</x:v>
      </x:c>
      <x:c r="R113" s="85" t="str">
        <x:v>消费分期P0003账单金额高于嘉泰实收</x:v>
      </x:c>
    </x:row>
    <x:row r="114">
      <x:c r="A114" s="85" t="n">
        <x:v>113</x:v>
      </x:c>
      <x:c r="B114" s="85" t="str">
        <x:v>JLZM026032822216000_3</x:v>
      </x:c>
      <x:c r="C114" s="85" t="str">
        <x:v>FXA26032822210600091</x:v>
      </x:c>
      <x:c r="D114" s="85" t="str">
        <x:v>JZM026032822131095</x:v>
      </x:c>
      <x:c r="E114" s="85" t="str">
        <x:v>JLZM026032822216000</x:v>
      </x:c>
      <x:c r="F114" s="85" t="str">
        <x:v>THJTBL-JSSM-BL2026032801932</x:v>
      </x:c>
      <x:c r="G114" s="85" t="str">
        <x:v>曹曼娜</x:v>
      </x:c>
      <x:c r="H114" s="103" t="n">
        <x:v>46184</x:v>
      </x:c>
      <x:c r="I114" s="85" t="n">
        <x:v>3</x:v>
      </x:c>
      <x:c r="J114" s="85" t="str">
        <x:v>线下</x:v>
      </x:c>
      <x:c r="K114" s="85" t="str">
        <x:v>回购</x:v>
      </x:c>
      <x:c r="L114" s="104" t="n">
        <x:v>8.17</x:v>
      </x:c>
      <x:c r="M114" s="85" t="str">
        <x:v>ZM026032822136730</x:v>
      </x:c>
      <x:c r="N114" s="85" t="str">
        <x:v>FXA26032822183600031</x:v>
      </x:c>
      <x:c r="O114" s="104" t="n">
        <x:v>16.34</x:v>
      </x:c>
      <x:c r="P114" s="104" t="n">
        <x:f>O114-L114</x:f>
        <x:v>8.17</x:v>
      </x:c>
      <x:c r="Q114" s="105" t="n">
        <x:f>IF(L114=0,"",O114/L114)</x:f>
        <x:v>2</x:v>
      </x:c>
      <x:c r="R114" s="85" t="str">
        <x:v>消费分期P0003账单金额高于嘉泰实收</x:v>
      </x:c>
    </x:row>
    <x:row r="115">
      <x:c r="A115" s="85" t="n">
        <x:v>114</x:v>
      </x:c>
      <x:c r="B115" s="85" t="str">
        <x:v>JLZM026022318034417_4</x:v>
      </x:c>
      <x:c r="C115" s="85" t="str">
        <x:v>FXA26022318030500041</x:v>
      </x:c>
      <x:c r="D115" s="85" t="str">
        <x:v>JZM026022317573365</x:v>
      </x:c>
      <x:c r="E115" s="85" t="str">
        <x:v>JLZM026022318034417</x:v>
      </x:c>
      <x:c r="F115" s="85" t="str">
        <x:v>THJTBL-JSSM-BL2026022300201</x:v>
      </x:c>
      <x:c r="G115" s="85" t="str">
        <x:v>张春</x:v>
      </x:c>
      <x:c r="H115" s="103" t="n">
        <x:v>46184</x:v>
      </x:c>
      <x:c r="I115" s="85" t="n">
        <x:v>4</x:v>
      </x:c>
      <x:c r="J115" s="85" t="str">
        <x:v>线下</x:v>
      </x:c>
      <x:c r="K115" s="85" t="str">
        <x:v>回购</x:v>
      </x:c>
      <x:c r="L115" s="104" t="n">
        <x:v>7.12</x:v>
      </x:c>
      <x:c r="M115" s="85" t="str">
        <x:v>ZM026022317570849</x:v>
      </x:c>
      <x:c r="N115" s="85" t="str">
        <x:v>FXA26022318023600041</x:v>
      </x:c>
      <x:c r="O115" s="104" t="n">
        <x:v>14.24</x:v>
      </x:c>
      <x:c r="P115" s="104" t="n">
        <x:f>O115-L115</x:f>
        <x:v>7.12</x:v>
      </x:c>
      <x:c r="Q115" s="105" t="n">
        <x:f>IF(L115=0,"",O115/L115)</x:f>
        <x:v>2</x:v>
      </x:c>
      <x:c r="R115" s="85" t="str">
        <x:v>消费分期P0003账单金额高于嘉泰实收</x:v>
      </x:c>
    </x:row>
    <x:row r="116">
      <x:c r="A116" s="85" t="n">
        <x:v>115</x:v>
      </x:c>
      <x:c r="B116" s="85" t="str">
        <x:v>JLZM026022422060707_4</x:v>
      </x:c>
      <x:c r="C116" s="85" t="str">
        <x:v>FXA26022422060500041</x:v>
      </x:c>
      <x:c r="D116" s="85" t="str">
        <x:v>JZM026022421578863</x:v>
      </x:c>
      <x:c r="E116" s="85" t="str">
        <x:v>JLZM026022422060707</x:v>
      </x:c>
      <x:c r="F116" s="85" t="str">
        <x:v>THJTBL-JSSM-BL2026022400397</x:v>
      </x:c>
      <x:c r="G116" s="85" t="str">
        <x:v>地力热巴·热布卡提</x:v>
      </x:c>
      <x:c r="H116" s="103" t="n">
        <x:v>46184</x:v>
      </x:c>
      <x:c r="I116" s="85" t="n">
        <x:v>4</x:v>
      </x:c>
      <x:c r="J116" s="85" t="str">
        <x:v>线下</x:v>
      </x:c>
      <x:c r="K116" s="85" t="str">
        <x:v>回购</x:v>
      </x:c>
      <x:c r="L116" s="104" t="n">
        <x:v>7.12</x:v>
      </x:c>
      <x:c r="M116" s="85" t="str">
        <x:v>ZM026022421574656</x:v>
      </x:c>
      <x:c r="N116" s="85" t="str">
        <x:v>FXA26022422041500041</x:v>
      </x:c>
      <x:c r="O116" s="104" t="n">
        <x:v>14.24</x:v>
      </x:c>
      <x:c r="P116" s="104" t="n">
        <x:f>O116-L116</x:f>
        <x:v>7.12</x:v>
      </x:c>
      <x:c r="Q116" s="105" t="n">
        <x:f>IF(L116=0,"",O116/L116)</x:f>
        <x:v>2</x:v>
      </x:c>
      <x:c r="R116" s="85" t="str">
        <x:v>消费分期P0003账单金额高于嘉泰实收</x:v>
      </x:c>
    </x:row>
    <x:row r="117">
      <x:c r="A117" s="85" t="n">
        <x:v>116</x:v>
      </x:c>
      <x:c r="B117" s="85" t="str">
        <x:v>JLZM026022520541628_4</x:v>
      </x:c>
      <x:c r="C117" s="85" t="str">
        <x:v>FXA26022520540500041</x:v>
      </x:c>
      <x:c r="D117" s="85" t="str">
        <x:v>JZM026022520455877</x:v>
      </x:c>
      <x:c r="E117" s="85" t="str">
        <x:v>JLZM026022520541628</x:v>
      </x:c>
      <x:c r="F117" s="85" t="str">
        <x:v>THJTBL-JSSM-BL2026022500866</x:v>
      </x:c>
      <x:c r="G117" s="85" t="str">
        <x:v>魏娴</x:v>
      </x:c>
      <x:c r="H117" s="103" t="n">
        <x:v>46184</x:v>
      </x:c>
      <x:c r="I117" s="85" t="n">
        <x:v>4</x:v>
      </x:c>
      <x:c r="J117" s="85" t="str">
        <x:v>线下</x:v>
      </x:c>
      <x:c r="K117" s="85" t="str">
        <x:v>回购</x:v>
      </x:c>
      <x:c r="L117" s="104" t="n">
        <x:v>7.12</x:v>
      </x:c>
      <x:c r="M117" s="85" t="str">
        <x:v>ZM026022520450471</x:v>
      </x:c>
      <x:c r="N117" s="85" t="str">
        <x:v>FXA26022520521100041</x:v>
      </x:c>
      <x:c r="O117" s="104" t="n">
        <x:v>14.24</x:v>
      </x:c>
      <x:c r="P117" s="104" t="n">
        <x:f>O117-L117</x:f>
        <x:v>7.12</x:v>
      </x:c>
      <x:c r="Q117" s="105" t="n">
        <x:f>IF(L117=0,"",O117/L117)</x:f>
        <x:v>2</x:v>
      </x:c>
      <x:c r="R117" s="85" t="str">
        <x:v>消费分期P0003账单金额高于嘉泰实收</x:v>
      </x:c>
    </x:row>
    <x:row r="118">
      <x:c r="A118" s="85" t="n">
        <x:v>117</x:v>
      </x:c>
      <x:c r="B118" s="85" t="str">
        <x:v>JLZM026022814278206_4</x:v>
      </x:c>
      <x:c r="C118" s="85" t="str">
        <x:v>FXA26022814270900031</x:v>
      </x:c>
      <x:c r="D118" s="85" t="str">
        <x:v>JZM026022814222509</x:v>
      </x:c>
      <x:c r="E118" s="85" t="str">
        <x:v>JLZM026022814278206</x:v>
      </x:c>
      <x:c r="F118" s="85" t="str">
        <x:v>THJTBL-JSSM-BL2026022800207</x:v>
      </x:c>
      <x:c r="G118" s="85" t="str">
        <x:v>王家骅</x:v>
      </x:c>
      <x:c r="H118" s="103" t="n">
        <x:v>46184</x:v>
      </x:c>
      <x:c r="I118" s="85" t="n">
        <x:v>4</x:v>
      </x:c>
      <x:c r="J118" s="85" t="str">
        <x:v>线下</x:v>
      </x:c>
      <x:c r="K118" s="85" t="str">
        <x:v>回购</x:v>
      </x:c>
      <x:c r="L118" s="104" t="n">
        <x:v>7.12</x:v>
      </x:c>
      <x:c r="M118" s="85" t="str">
        <x:v>ZM026022814211298</x:v>
      </x:c>
      <x:c r="N118" s="85" t="str">
        <x:v>FXA26022814261900041</x:v>
      </x:c>
      <x:c r="O118" s="104" t="n">
        <x:v>14.24</x:v>
      </x:c>
      <x:c r="P118" s="104" t="n">
        <x:f>O118-L118</x:f>
        <x:v>7.12</x:v>
      </x:c>
      <x:c r="Q118" s="105" t="n">
        <x:f>IF(L118=0,"",O118/L118)</x:f>
        <x:v>2</x:v>
      </x:c>
      <x:c r="R118" s="85" t="str">
        <x:v>消费分期P0003账单金额高于嘉泰实收</x:v>
      </x:c>
    </x:row>
    <x:row r="119">
      <x:c r="A119" s="85" t="n">
        <x:v>118</x:v>
      </x:c>
      <x:c r="B119" s="85" t="str">
        <x:v>JLZM026022320277776_4</x:v>
      </x:c>
      <x:c r="C119" s="85" t="str">
        <x:v>FXA26022320271100041</x:v>
      </x:c>
      <x:c r="D119" s="85" t="str">
        <x:v>JZM026022320181136</x:v>
      </x:c>
      <x:c r="E119" s="85" t="str">
        <x:v>JLZM026022320277776</x:v>
      </x:c>
      <x:c r="F119" s="85" t="str">
        <x:v>THJTBL-JSSM-BL2026022300231</x:v>
      </x:c>
      <x:c r="G119" s="85" t="str">
        <x:v>梁雨</x:v>
      </x:c>
      <x:c r="H119" s="103" t="n">
        <x:v>46184</x:v>
      </x:c>
      <x:c r="I119" s="85" t="n">
        <x:v>4</x:v>
      </x:c>
      <x:c r="J119" s="85" t="str">
        <x:v>线下</x:v>
      </x:c>
      <x:c r="K119" s="85" t="str">
        <x:v>回购</x:v>
      </x:c>
      <x:c r="L119" s="104" t="n">
        <x:v>6.76</x:v>
      </x:c>
      <x:c r="M119" s="85" t="str">
        <x:v>ZM026022320171519</x:v>
      </x:c>
      <x:c r="N119" s="85" t="str">
        <x:v>FXA26022320241500041</x:v>
      </x:c>
      <x:c r="O119" s="104" t="n">
        <x:v>13.53</x:v>
      </x:c>
      <x:c r="P119" s="104" t="n">
        <x:f>O119-L119</x:f>
        <x:v>6.77</x:v>
      </x:c>
      <x:c r="Q119" s="105" t="n">
        <x:f>IF(L119=0,"",O119/L119)</x:f>
        <x:v>2.0014792899408285</x:v>
      </x:c>
      <x:c r="R119" s="85" t="str">
        <x:v>消费分期P0003账单金额高于嘉泰实收</x:v>
      </x:c>
    </x:row>
    <x:row r="120">
      <x:c r="A120" s="85" t="n">
        <x:v>119</x:v>
      </x:c>
      <x:c r="B120" s="85" t="str">
        <x:v>JLZM026022818097855_4</x:v>
      </x:c>
      <x:c r="C120" s="85" t="str">
        <x:v>FXA26022818090900041</x:v>
      </x:c>
      <x:c r="D120" s="85" t="str">
        <x:v>JZM026022818021017</x:v>
      </x:c>
      <x:c r="E120" s="85" t="str">
        <x:v>JLZM026022818097855</x:v>
      </x:c>
      <x:c r="F120" s="85" t="str">
        <x:v>THJTBL-JSSM-BL2026022800446</x:v>
      </x:c>
      <x:c r="G120" s="85" t="str">
        <x:v>谭玉兰</x:v>
      </x:c>
      <x:c r="H120" s="103" t="n">
        <x:v>46184</x:v>
      </x:c>
      <x:c r="I120" s="85" t="n">
        <x:v>4</x:v>
      </x:c>
      <x:c r="J120" s="85" t="str">
        <x:v>线下</x:v>
      </x:c>
      <x:c r="K120" s="85" t="str">
        <x:v>回购</x:v>
      </x:c>
      <x:c r="L120" s="104" t="n">
        <x:v>6.74</x:v>
      </x:c>
      <x:c r="M120" s="85" t="str">
        <x:v>ZM026022818011713</x:v>
      </x:c>
      <x:c r="N120" s="85" t="str">
        <x:v>FXA26022818062200041</x:v>
      </x:c>
      <x:c r="O120" s="104" t="n">
        <x:v>13.48</x:v>
      </x:c>
      <x:c r="P120" s="104" t="n">
        <x:f>O120-L120</x:f>
        <x:v>6.74</x:v>
      </x:c>
      <x:c r="Q120" s="105" t="n">
        <x:f>IF(L120=0,"",O120/L120)</x:f>
        <x:v>2</x:v>
      </x:c>
      <x:c r="R120" s="85" t="str">
        <x:v>消费分期P0003账单金额高于嘉泰实收</x:v>
      </x:c>
    </x:row>
    <x:row r="121">
      <x:c r="A121" s="85" t="n">
        <x:v>120</x:v>
      </x:c>
      <x:c r="B121" s="85" t="str">
        <x:v>JLZM026022813095541_4</x:v>
      </x:c>
      <x:c r="C121" s="85" t="str">
        <x:v>FXA26022813090600041</x:v>
      </x:c>
      <x:c r="D121" s="85" t="str">
        <x:v>JZM026022813012085</x:v>
      </x:c>
      <x:c r="E121" s="85" t="str">
        <x:v>JLZM026022813095541</x:v>
      </x:c>
      <x:c r="F121" s="85" t="str">
        <x:v>THJTBL-JSSM-BL2026022800172</x:v>
      </x:c>
      <x:c r="G121" s="85" t="str">
        <x:v>王建康</x:v>
      </x:c>
      <x:c r="H121" s="103" t="n">
        <x:v>46184</x:v>
      </x:c>
      <x:c r="I121" s="85" t="n">
        <x:v>4</x:v>
      </x:c>
      <x:c r="J121" s="85" t="str">
        <x:v>线下</x:v>
      </x:c>
      <x:c r="K121" s="85" t="str">
        <x:v>回购</x:v>
      </x:c>
      <x:c r="L121" s="104" t="n">
        <x:v>6.71</x:v>
      </x:c>
      <x:c r="M121" s="85" t="str">
        <x:v>ZM026022813010549</x:v>
      </x:c>
      <x:c r="N121" s="85" t="str">
        <x:v>FXA26022813061100041</x:v>
      </x:c>
      <x:c r="O121" s="104" t="n">
        <x:v>13.42</x:v>
      </x:c>
      <x:c r="P121" s="104" t="n">
        <x:f>O121-L121</x:f>
        <x:v>6.71</x:v>
      </x:c>
      <x:c r="Q121" s="105" t="n">
        <x:f>IF(L121=0,"",O121/L121)</x:f>
        <x:v>2</x:v>
      </x:c>
      <x:c r="R121" s="85" t="str">
        <x:v>消费分期P0003账单金额高于嘉泰实收</x:v>
      </x:c>
    </x:row>
    <x:row r="122">
      <x:c r="A122" s="85" t="n">
        <x:v>121</x:v>
      </x:c>
      <x:c r="B122" s="85" t="str">
        <x:v>JLZM026022417333419_4</x:v>
      </x:c>
      <x:c r="C122" s="85" t="str">
        <x:v>FXA26022417330700101</x:v>
      </x:c>
      <x:c r="D122" s="85" t="str">
        <x:v>JZM026022417298221</x:v>
      </x:c>
      <x:c r="E122" s="85" t="str">
        <x:v>JLZM026022417333419</x:v>
      </x:c>
      <x:c r="F122" s="85" t="str">
        <x:v>THJTBL-JSSM-BL2026022400311</x:v>
      </x:c>
      <x:c r="G122" s="85" t="str">
        <x:v>张晓波</x:v>
      </x:c>
      <x:c r="H122" s="103" t="n">
        <x:v>46184</x:v>
      </x:c>
      <x:c r="I122" s="85" t="n">
        <x:v>4</x:v>
      </x:c>
      <x:c r="J122" s="85" t="str">
        <x:v>线下</x:v>
      </x:c>
      <x:c r="K122" s="85" t="str">
        <x:v>回购</x:v>
      </x:c>
      <x:c r="L122" s="104" t="n">
        <x:v>6.64</x:v>
      </x:c>
      <x:c r="M122" s="85" t="str">
        <x:v>ZM026022417292406</x:v>
      </x:c>
      <x:c r="N122" s="85" t="str">
        <x:v>FXA26022417324600041</x:v>
      </x:c>
      <x:c r="O122" s="104" t="n">
        <x:v>13.28</x:v>
      </x:c>
      <x:c r="P122" s="104" t="n">
        <x:f>O122-L122</x:f>
        <x:v>6.64</x:v>
      </x:c>
      <x:c r="Q122" s="105" t="n">
        <x:f>IF(L122=0,"",O122/L122)</x:f>
        <x:v>2</x:v>
      </x:c>
      <x:c r="R122" s="85" t="str">
        <x:v>消费分期P0003账单金额高于嘉泰实收</x:v>
      </x:c>
    </x:row>
    <x:row r="123">
      <x:c r="A123" s="85" t="n">
        <x:v>122</x:v>
      </x:c>
      <x:c r="B123" s="85" t="str">
        <x:v>JLZM026022411180261_4</x:v>
      </x:c>
      <x:c r="C123" s="85" t="str">
        <x:v>FXA26022411180600041</x:v>
      </x:c>
      <x:c r="D123" s="85" t="str">
        <x:v>JZM026022411100351</x:v>
      </x:c>
      <x:c r="E123" s="85" t="str">
        <x:v>JLZM026022411180261</x:v>
      </x:c>
      <x:c r="F123" s="85" t="str">
        <x:v>THJTBL-JSSM-BL2026022400089</x:v>
      </x:c>
      <x:c r="G123" s="85" t="str">
        <x:v>卢旭</x:v>
      </x:c>
      <x:c r="H123" s="103" t="n">
        <x:v>46184</x:v>
      </x:c>
      <x:c r="I123" s="85" t="n">
        <x:v>4</x:v>
      </x:c>
      <x:c r="J123" s="85" t="str">
        <x:v>线下</x:v>
      </x:c>
      <x:c r="K123" s="85" t="str">
        <x:v>回购</x:v>
      </x:c>
      <x:c r="L123" s="104" t="n">
        <x:v>6.41</x:v>
      </x:c>
      <x:c r="M123" s="85" t="str">
        <x:v>ZM026022411099649</x:v>
      </x:c>
      <x:c r="N123" s="85" t="str">
        <x:v>FXA26022411163000041</x:v>
      </x:c>
      <x:c r="O123" s="104" t="n">
        <x:v>12.81</x:v>
      </x:c>
      <x:c r="P123" s="104" t="n">
        <x:f>O123-L123</x:f>
        <x:v>6.4</x:v>
      </x:c>
      <x:c r="Q123" s="105" t="n">
        <x:f>IF(L123=0,"",O123/L123)</x:f>
        <x:v>1.998439937597504</x:v>
      </x:c>
      <x:c r="R123" s="85" t="str">
        <x:v>消费分期P0003账单金额高于嘉泰实收</x:v>
      </x:c>
    </x:row>
    <x:row r="124">
      <x:c r="A124" s="85" t="n">
        <x:v>123</x:v>
      </x:c>
      <x:c r="B124" s="85" t="str">
        <x:v>JLZM026022517452191_4</x:v>
      </x:c>
      <x:c r="C124" s="85" t="str">
        <x:v>FXA26022517450600041</x:v>
      </x:c>
      <x:c r="D124" s="85" t="str">
        <x:v>JZM026022517374875</x:v>
      </x:c>
      <x:c r="E124" s="85" t="str">
        <x:v>JLZM026022517452191</x:v>
      </x:c>
      <x:c r="F124" s="85" t="str">
        <x:v>THJTBL-JSSM-BL2026022500758</x:v>
      </x:c>
      <x:c r="G124" s="85" t="str">
        <x:v>曹宇鑫</x:v>
      </x:c>
      <x:c r="H124" s="103" t="n">
        <x:v>46184</x:v>
      </x:c>
      <x:c r="I124" s="85" t="n">
        <x:v>4</x:v>
      </x:c>
      <x:c r="J124" s="85" t="str">
        <x:v>线下</x:v>
      </x:c>
      <x:c r="K124" s="85" t="str">
        <x:v>回购</x:v>
      </x:c>
      <x:c r="L124" s="104" t="n">
        <x:v>6.41</x:v>
      </x:c>
      <x:c r="M124" s="85" t="str">
        <x:v>ZM026022517370871</x:v>
      </x:c>
      <x:c r="N124" s="85" t="str">
        <x:v>FXA26022517421200041</x:v>
      </x:c>
      <x:c r="O124" s="104" t="n">
        <x:v>12.81</x:v>
      </x:c>
      <x:c r="P124" s="104" t="n">
        <x:f>O124-L124</x:f>
        <x:v>6.4</x:v>
      </x:c>
      <x:c r="Q124" s="105" t="n">
        <x:f>IF(L124=0,"",O124/L124)</x:f>
        <x:v>1.998439937597504</x:v>
      </x:c>
      <x:c r="R124" s="85" t="str">
        <x:v>消费分期P0003账单金额高于嘉泰实收</x:v>
      </x:c>
    </x:row>
    <x:row r="125">
      <x:c r="A125" s="85" t="n">
        <x:v>124</x:v>
      </x:c>
      <x:c r="B125" s="85" t="str">
        <x:v>JLZM026022518364072_4</x:v>
      </x:c>
      <x:c r="C125" s="85" t="str">
        <x:v>FXA26022518360500041</x:v>
      </x:c>
      <x:c r="D125" s="85" t="str">
        <x:v>JZM026022518298161</x:v>
      </x:c>
      <x:c r="E125" s="85" t="str">
        <x:v>JLZM026022518364072</x:v>
      </x:c>
      <x:c r="F125" s="85" t="str">
        <x:v>THJTBL-JSSM-BL2026022500812</x:v>
      </x:c>
      <x:c r="G125" s="85" t="str">
        <x:v>黄森龙</x:v>
      </x:c>
      <x:c r="H125" s="103" t="n">
        <x:v>46184</x:v>
      </x:c>
      <x:c r="I125" s="85" t="n">
        <x:v>4</x:v>
      </x:c>
      <x:c r="J125" s="85" t="str">
        <x:v>线下</x:v>
      </x:c>
      <x:c r="K125" s="85" t="str">
        <x:v>回购</x:v>
      </x:c>
      <x:c r="L125" s="104" t="n">
        <x:v>6.41</x:v>
      </x:c>
      <x:c r="M125" s="85" t="str">
        <x:v>ZM026022518293197</x:v>
      </x:c>
      <x:c r="N125" s="85" t="str">
        <x:v>FXA26022518341400041</x:v>
      </x:c>
      <x:c r="O125" s="104" t="n">
        <x:v>12.81</x:v>
      </x:c>
      <x:c r="P125" s="104" t="n">
        <x:f>O125-L125</x:f>
        <x:v>6.4</x:v>
      </x:c>
      <x:c r="Q125" s="105" t="n">
        <x:f>IF(L125=0,"",O125/L125)</x:f>
        <x:v>1.998439937597504</x:v>
      </x:c>
      <x:c r="R125" s="85" t="str">
        <x:v>消费分期P0003账单金额高于嘉泰实收</x:v>
      </x:c>
    </x:row>
    <x:row r="126">
      <x:c r="A126" s="85" t="n">
        <x:v>125</x:v>
      </x:c>
      <x:c r="B126" s="85" t="str">
        <x:v>JLZM026022818278535_4</x:v>
      </x:c>
      <x:c r="C126" s="85" t="str">
        <x:v>FXA26022818270500101</x:v>
      </x:c>
      <x:c r="D126" s="85" t="str">
        <x:v>JZM026022818214235</x:v>
      </x:c>
      <x:c r="E126" s="85" t="str">
        <x:v>JLZM026022818278535</x:v>
      </x:c>
      <x:c r="F126" s="85" t="str">
        <x:v>THJTBL-JSSM-BL2026022800466</x:v>
      </x:c>
      <x:c r="G126" s="85" t="str">
        <x:v>史国腾</x:v>
      </x:c>
      <x:c r="H126" s="103" t="n">
        <x:v>46184</x:v>
      </x:c>
      <x:c r="I126" s="85" t="n">
        <x:v>4</x:v>
      </x:c>
      <x:c r="J126" s="85" t="str">
        <x:v>线下</x:v>
      </x:c>
      <x:c r="K126" s="85" t="str">
        <x:v>回购</x:v>
      </x:c>
      <x:c r="L126" s="104" t="n">
        <x:v>6.41</x:v>
      </x:c>
      <x:c r="M126" s="85" t="str">
        <x:v>ZM026022818210176</x:v>
      </x:c>
      <x:c r="N126" s="85" t="str">
        <x:v>FXA26022818261100041</x:v>
      </x:c>
      <x:c r="O126" s="104" t="n">
        <x:v>12.81</x:v>
      </x:c>
      <x:c r="P126" s="104" t="n">
        <x:f>O126-L126</x:f>
        <x:v>6.4</x:v>
      </x:c>
      <x:c r="Q126" s="105" t="n">
        <x:f>IF(L126=0,"",O126/L126)</x:f>
        <x:v>1.998439937597504</x:v>
      </x:c>
      <x:c r="R126" s="85" t="str">
        <x:v>消费分期P0003账单金额高于嘉泰实收</x:v>
      </x:c>
    </x:row>
    <x:row r="127">
      <x:c r="A127" s="85" t="n">
        <x:v>126</x:v>
      </x:c>
      <x:c r="B127" s="85" t="str">
        <x:v>JLZM026032412150533_3</x:v>
      </x:c>
      <x:c r="C127" s="85" t="str">
        <x:v>FXA26032412151500031</x:v>
      </x:c>
      <x:c r="D127" s="85" t="str">
        <x:v>JZM026032412094362</x:v>
      </x:c>
      <x:c r="E127" s="85" t="str">
        <x:v>JLZM026032412150533</x:v>
      </x:c>
      <x:c r="F127" s="85" t="str">
        <x:v>THJTBL-JSSM-BL2026032401376</x:v>
      </x:c>
      <x:c r="G127" s="85" t="str">
        <x:v>盛涛</x:v>
      </x:c>
      <x:c r="H127" s="103" t="n">
        <x:v>46184</x:v>
      </x:c>
      <x:c r="I127" s="85" t="n">
        <x:v>3</x:v>
      </x:c>
      <x:c r="J127" s="85" t="str">
        <x:v>线下</x:v>
      </x:c>
      <x:c r="K127" s="85" t="str">
        <x:v>回购</x:v>
      </x:c>
      <x:c r="L127" s="104" t="n">
        <x:v>5.93</x:v>
      </x:c>
      <x:c r="M127" s="85" t="str">
        <x:v>ZM026032412095782</x:v>
      </x:c>
      <x:c r="N127" s="85" t="str">
        <x:v>FXA26032412143000031</x:v>
      </x:c>
      <x:c r="O127" s="104" t="n">
        <x:v>11.86</x:v>
      </x:c>
      <x:c r="P127" s="104" t="n">
        <x:f>O127-L127</x:f>
        <x:v>5.93</x:v>
      </x:c>
      <x:c r="Q127" s="105" t="n">
        <x:f>IF(L127=0,"",O127/L127)</x:f>
        <x:v>2</x:v>
      </x:c>
      <x:c r="R127" s="85" t="str">
        <x:v>消费分期P0003账单金额高于嘉泰实收</x:v>
      </x:c>
    </x:row>
    <x:row r="128">
      <x:c r="A128" s="85" t="n">
        <x:v>127</x:v>
      </x:c>
      <x:c r="B128" s="85" t="str">
        <x:v>JLZM026022502336334_4</x:v>
      </x:c>
      <x:c r="C128" s="85" t="str">
        <x:v>FXA26022502330700041</x:v>
      </x:c>
      <x:c r="D128" s="85" t="str">
        <x:v>JZM026022502251629</x:v>
      </x:c>
      <x:c r="E128" s="85" t="str">
        <x:v>JLZM026022502336334</x:v>
      </x:c>
      <x:c r="F128" s="85" t="str">
        <x:v>THJTBL-JSSM-BL2026022500138</x:v>
      </x:c>
      <x:c r="G128" s="85" t="str">
        <x:v>徐冰</x:v>
      </x:c>
      <x:c r="H128" s="103" t="n">
        <x:v>46184</x:v>
      </x:c>
      <x:c r="I128" s="85" t="n">
        <x:v>4</x:v>
      </x:c>
      <x:c r="J128" s="85" t="str">
        <x:v>线下</x:v>
      </x:c>
      <x:c r="K128" s="85" t="str">
        <x:v>回购</x:v>
      </x:c>
      <x:c r="L128" s="104" t="n">
        <x:v>5.56</x:v>
      </x:c>
      <x:c r="M128" s="85" t="str">
        <x:v>ZM026022502252705</x:v>
      </x:c>
      <x:c r="N128" s="85" t="str">
        <x:v>FXA26022502313600041</x:v>
      </x:c>
      <x:c r="O128" s="104" t="n">
        <x:v>11.13</x:v>
      </x:c>
      <x:c r="P128" s="104" t="n">
        <x:f>O128-L128</x:f>
        <x:v>5.570000000000001</x:v>
      </x:c>
      <x:c r="Q128" s="105" t="n">
        <x:f>IF(L128=0,"",O128/L128)</x:f>
        <x:v>2.0017985611510793</x:v>
      </x:c>
      <x:c r="R128" s="85" t="str">
        <x:v>消费分期P0003账单金额高于嘉泰实收</x:v>
      </x:c>
    </x:row>
    <x:row r="129">
      <x:c r="A129" s="85" t="n">
        <x:v>128</x:v>
      </x:c>
      <x:c r="B129" s="85" t="str">
        <x:v>JLZM026122812453544_6</x:v>
      </x:c>
      <x:c r="C129" s="85" t="str">
        <x:v>FX026122812450700061</x:v>
      </x:c>
      <x:c r="D129" s="85" t="str">
        <x:v>JZM026122812371965</x:v>
      </x:c>
      <x:c r="E129" s="85" t="str">
        <x:v>JLZM026122812453544</x:v>
      </x:c>
      <x:c r="F129" s="85" t="str">
        <x:v>THJTBL-JSSM-BL2025122800004</x:v>
      </x:c>
      <x:c r="G129" s="85" t="str">
        <x:v>郭傲</x:v>
      </x:c>
      <x:c r="H129" s="103" t="n">
        <x:v>46184</x:v>
      </x:c>
      <x:c r="I129" s="85" t="n">
        <x:v>6</x:v>
      </x:c>
      <x:c r="J129" s="85" t="str">
        <x:v>线下</x:v>
      </x:c>
      <x:c r="K129" s="85" t="str">
        <x:v>回购</x:v>
      </x:c>
      <x:c r="L129" s="104" t="n">
        <x:v>5.44</x:v>
      </x:c>
      <x:c r="M129" s="85" t="str">
        <x:v>ZM026122812374514</x:v>
      </x:c>
      <x:c r="N129" s="85" t="str">
        <x:v>FX026122812421100061</x:v>
      </x:c>
      <x:c r="O129" s="104" t="n">
        <x:v>10.89</x:v>
      </x:c>
      <x:c r="P129" s="104" t="n">
        <x:f>O129-L129</x:f>
        <x:v>5.45</x:v>
      </x:c>
      <x:c r="Q129" s="105" t="n">
        <x:f>IF(L129=0,"",O129/L129)</x:f>
        <x:v>2.0018382352941178</x:v>
      </x:c>
      <x:c r="R129" s="85" t="str">
        <x:v>消费分期P0003账单金额高于嘉泰实收</x:v>
      </x:c>
    </x:row>
    <x:row r="130">
      <x:c r="A130" s="85" t="n">
        <x:v>129</x:v>
      </x:c>
      <x:c r="B130" s="85" t="str">
        <x:v>JLZM026022502275298_4</x:v>
      </x:c>
      <x:c r="C130" s="85" t="str">
        <x:v>FXA26022502270600101</x:v>
      </x:c>
      <x:c r="D130" s="85" t="str">
        <x:v>JZM026022502215286</x:v>
      </x:c>
      <x:c r="E130" s="85" t="str">
        <x:v>JLZM026022502275298</x:v>
      </x:c>
      <x:c r="F130" s="85" t="str">
        <x:v>THJTBL-JSSM-BL2026022500135</x:v>
      </x:c>
      <x:c r="G130" s="85" t="str">
        <x:v>徐冰</x:v>
      </x:c>
      <x:c r="H130" s="103" t="n">
        <x:v>46184</x:v>
      </x:c>
      <x:c r="I130" s="85" t="n">
        <x:v>4</x:v>
      </x:c>
      <x:c r="J130" s="85" t="str">
        <x:v>线下</x:v>
      </x:c>
      <x:c r="K130" s="85" t="str">
        <x:v>回购</x:v>
      </x:c>
      <x:c r="L130" s="104" t="n">
        <x:v>5.45</x:v>
      </x:c>
      <x:c r="M130" s="85" t="str">
        <x:v>ZM026022502217424</x:v>
      </x:c>
      <x:c r="N130" s="85" t="str">
        <x:v>FXA26022502261800041</x:v>
      </x:c>
      <x:c r="O130" s="104" t="n">
        <x:v>10.89</x:v>
      </x:c>
      <x:c r="P130" s="104" t="n">
        <x:f>O130-L130</x:f>
        <x:v>5.44</x:v>
      </x:c>
      <x:c r="Q130" s="105" t="n">
        <x:f>IF(L130=0,"",O130/L130)</x:f>
        <x:v>1.998165137614679</x:v>
      </x:c>
      <x:c r="R130" s="85" t="str">
        <x:v>消费分期P0003账单金额高于嘉泰实收</x:v>
      </x:c>
    </x:row>
    <x:row r="131">
      <x:c r="A131" s="85" t="n">
        <x:v>130</x:v>
      </x:c>
      <x:c r="B131" s="85" t="str">
        <x:v>JLZM026022616156649_4</x:v>
      </x:c>
      <x:c r="C131" s="85" t="str">
        <x:v>FXA26022616150600041</x:v>
      </x:c>
      <x:c r="D131" s="85" t="str">
        <x:v>JZM026022616060004</x:v>
      </x:c>
      <x:c r="E131" s="85" t="str">
        <x:v>JLZM026022616156649</x:v>
      </x:c>
      <x:c r="F131" s="85" t="str">
        <x:v>THJTBL-JSSM-BL2026022600189</x:v>
      </x:c>
      <x:c r="G131" s="85" t="str">
        <x:v>刘力赫</x:v>
      </x:c>
      <x:c r="H131" s="103" t="n">
        <x:v>46184</x:v>
      </x:c>
      <x:c r="I131" s="85" t="n">
        <x:v>4</x:v>
      </x:c>
      <x:c r="J131" s="85" t="str">
        <x:v>线下</x:v>
      </x:c>
      <x:c r="K131" s="85" t="str">
        <x:v>回购</x:v>
      </x:c>
      <x:c r="L131" s="104" t="n">
        <x:v>5.2</x:v>
      </x:c>
      <x:c r="M131" s="85" t="str">
        <x:v>ZM026022616056344</x:v>
      </x:c>
      <x:c r="N131" s="85" t="str">
        <x:v>FXA26022616121900041</x:v>
      </x:c>
      <x:c r="O131" s="104" t="n">
        <x:v>10.4</x:v>
      </x:c>
      <x:c r="P131" s="104" t="n">
        <x:f>O131-L131</x:f>
        <x:v>5.2</x:v>
      </x:c>
      <x:c r="Q131" s="105" t="n">
        <x:f>IF(L131=0,"",O131/L131)</x:f>
        <x:v>2</x:v>
      </x:c>
      <x:c r="R131" s="85" t="str">
        <x:v>消费分期P0003账单金额高于嘉泰实收</x:v>
      </x:c>
    </x:row>
    <x:row r="132">
      <x:c r="A132" s="85" t="n">
        <x:v>131</x:v>
      </x:c>
      <x:c r="B132" s="85" t="str">
        <x:v>JLZM026031019030181_4</x:v>
      </x:c>
      <x:c r="C132" s="85" t="str">
        <x:v>FXA26031019030700101</x:v>
      </x:c>
      <x:c r="D132" s="85" t="str">
        <x:v>JZM026031018579493</x:v>
      </x:c>
      <x:c r="E132" s="85" t="str">
        <x:v>JLZM026031019030181</x:v>
      </x:c>
      <x:c r="F132" s="85" t="str">
        <x:v>THJTBL-JSSM-BL2026031000577</x:v>
      </x:c>
      <x:c r="G132" s="85" t="str">
        <x:v>高桂红</x:v>
      </x:c>
      <x:c r="H132" s="103" t="n">
        <x:v>46184</x:v>
      </x:c>
      <x:c r="I132" s="85" t="n">
        <x:v>4</x:v>
      </x:c>
      <x:c r="J132" s="85" t="str">
        <x:v>线下</x:v>
      </x:c>
      <x:c r="K132" s="85" t="str">
        <x:v>回购</x:v>
      </x:c>
      <x:c r="L132" s="104" t="n">
        <x:v>4.16</x:v>
      </x:c>
      <x:c r="M132" s="85" t="str">
        <x:v>ZM026031018577323</x:v>
      </x:c>
      <x:c r="N132" s="85" t="str">
        <x:v>FXA26031019024800101</x:v>
      </x:c>
      <x:c r="O132" s="104" t="n">
        <x:v>8.31</x:v>
      </x:c>
      <x:c r="P132" s="104" t="n">
        <x:f>O132-L132</x:f>
        <x:v>4.15</x:v>
      </x:c>
      <x:c r="Q132" s="105" t="n">
        <x:f>IF(L132=0,"",O132/L132)</x:f>
        <x:v>1.997596153846154</x:v>
      </x:c>
      <x:c r="R132" s="85" t="str">
        <x:v>消费分期P0003账单金额高于嘉泰实收</x:v>
      </x:c>
    </x:row>
    <x:row r="133">
      <x:c r="A133" s="85" t="n">
        <x:v>132</x:v>
      </x:c>
      <x:c r="B133" s="85" t="str">
        <x:v>JLZM026022502275297_4</x:v>
      </x:c>
      <x:c r="C133" s="85" t="str">
        <x:v>FXA26022502270600041</x:v>
      </x:c>
      <x:c r="D133" s="85" t="str">
        <x:v>JZM026022502215285</x:v>
      </x:c>
      <x:c r="E133" s="85" t="str">
        <x:v>JLZM026022502275297</x:v>
      </x:c>
      <x:c r="F133" s="85" t="str">
        <x:v>THJTBL-JSSM-BL2026022500134</x:v>
      </x:c>
      <x:c r="G133" s="85" t="str">
        <x:v>徐冰</x:v>
      </x:c>
      <x:c r="H133" s="103" t="n">
        <x:v>46184</x:v>
      </x:c>
      <x:c r="I133" s="85" t="n">
        <x:v>4</x:v>
      </x:c>
      <x:c r="J133" s="85" t="str">
        <x:v>线下</x:v>
      </x:c>
      <x:c r="K133" s="85" t="str">
        <x:v>回购</x:v>
      </x:c>
      <x:c r="L133" s="104" t="n">
        <x:v>4.09</x:v>
      </x:c>
      <x:c r="M133" s="85" t="str">
        <x:v>ZM026022502217423</x:v>
      </x:c>
      <x:c r="N133" s="85" t="str">
        <x:v>FXA26022502261400041</x:v>
      </x:c>
      <x:c r="O133" s="104" t="n">
        <x:v>8.19</x:v>
      </x:c>
      <x:c r="P133" s="104" t="n">
        <x:f>O133-L133</x:f>
        <x:v>4.1</x:v>
      </x:c>
      <x:c r="Q133" s="105" t="n">
        <x:f>IF(L133=0,"",O133/L133)</x:f>
        <x:v>2.002444987775061</x:v>
      </x:c>
      <x:c r="R133" s="85" t="str">
        <x:v>消费分期P0003账单金额高于嘉泰实收</x:v>
      </x:c>
    </x:row>
    <x:row r="134">
      <x:c r="A134" s="85" t="n">
        <x:v>133</x:v>
      </x:c>
      <x:c r="B134" s="85" t="str">
        <x:v>JLZM026031115215429_4</x:v>
      </x:c>
      <x:c r="C134" s="85" t="str">
        <x:v>FXA26031115210600101</x:v>
      </x:c>
      <x:c r="D134" s="85" t="str">
        <x:v>JZM026031115177469</x:v>
      </x:c>
      <x:c r="E134" s="85" t="str">
        <x:v>JLZM026031115215429</x:v>
      </x:c>
      <x:c r="F134" s="85" t="str">
        <x:v>THJTBL-JSSM-BL2026031100415</x:v>
      </x:c>
      <x:c r="G134" s="85" t="str">
        <x:v>沈煌兴</x:v>
      </x:c>
      <x:c r="H134" s="103" t="n">
        <x:v>46184</x:v>
      </x:c>
      <x:c r="I134" s="85" t="n">
        <x:v>4</x:v>
      </x:c>
      <x:c r="J134" s="85" t="str">
        <x:v>线下</x:v>
      </x:c>
      <x:c r="K134" s="85" t="str">
        <x:v>回购</x:v>
      </x:c>
      <x:c r="L134" s="104" t="n">
        <x:v>4.02</x:v>
      </x:c>
      <x:c r="M134" s="85" t="str">
        <x:v>ZM026031115170932</x:v>
      </x:c>
      <x:c r="N134" s="85" t="str">
        <x:v>FXA26031115201000041</x:v>
      </x:c>
      <x:c r="O134" s="104" t="n">
        <x:v>8.03</x:v>
      </x:c>
      <x:c r="P134" s="104" t="n">
        <x:f>O134-L134</x:f>
        <x:v>4.01</x:v>
      </x:c>
      <x:c r="Q134" s="105" t="n">
        <x:f>IF(L134=0,"",O134/L134)</x:f>
        <x:v>1.9975124378109452</x:v>
      </x:c>
      <x:c r="R134" s="85" t="str">
        <x:v>消费分期P0003账单金额高于嘉泰实收</x:v>
      </x:c>
    </x:row>
    <x:row r="135">
      <x:c r="A135" s="85" t="n">
        <x:v>134</x:v>
      </x:c>
      <x:c r="B135" s="85" t="str">
        <x:v>JLZM026041015422992_3</x:v>
      </x:c>
      <x:c r="C135" s="85" t="str">
        <x:v>FXA26041015420500091</x:v>
      </x:c>
      <x:c r="D135" s="85" t="str">
        <x:v>JZM026041015335843</x:v>
      </x:c>
      <x:c r="E135" s="85" t="str">
        <x:v>JLZM026041015422992</x:v>
      </x:c>
      <x:c r="F135" s="85" t="str">
        <x:v>THJTBL-JSSM-BL2026041003071</x:v>
      </x:c>
      <x:c r="G135" s="85" t="str">
        <x:v>张群</x:v>
      </x:c>
      <x:c r="H135" s="103" t="n">
        <x:v>46184</x:v>
      </x:c>
      <x:c r="I135" s="85" t="n">
        <x:v>3</x:v>
      </x:c>
      <x:c r="J135" s="85" t="str">
        <x:v>线下</x:v>
      </x:c>
      <x:c r="K135" s="85" t="str">
        <x:v>回购</x:v>
      </x:c>
      <x:c r="L135" s="104" t="n">
        <x:v>3.45</x:v>
      </x:c>
      <x:c r="M135" s="85" t="str">
        <x:v>ZM026041015334223</x:v>
      </x:c>
      <x:c r="N135" s="85" t="str">
        <x:v>FXA26041015390500031</x:v>
      </x:c>
      <x:c r="O135" s="104" t="n">
        <x:v>6.9</x:v>
      </x:c>
      <x:c r="P135" s="104" t="n">
        <x:f>O135-L135</x:f>
        <x:v>3.45</x:v>
      </x:c>
      <x:c r="Q135" s="105" t="n">
        <x:f>IF(L135=0,"",O135/L135)</x:f>
        <x:v>2</x:v>
      </x:c>
      <x:c r="R135" s="85" t="str">
        <x:v>消费分期P0003账单金额高于嘉泰实收</x:v>
      </x:c>
    </x:row>
    <x:row r="136">
      <x:c r="A136" s="85" t="n">
        <x:v>135</x:v>
      </x:c>
      <x:c r="B136" s="85" t="str">
        <x:v>JLZM026040112151113_3</x:v>
      </x:c>
      <x:c r="C136" s="85" t="str">
        <x:v>FXA26040112150500031</x:v>
      </x:c>
      <x:c r="D136" s="85" t="str">
        <x:v>JZM026040112098426</x:v>
      </x:c>
      <x:c r="E136" s="85" t="str">
        <x:v>JLZM026040112151113</x:v>
      </x:c>
      <x:c r="F136" s="85" t="str">
        <x:v>THJTBL-JSSM-BL2026040100023</x:v>
      </x:c>
      <x:c r="G136" s="85" t="str">
        <x:v>刘华文</x:v>
      </x:c>
      <x:c r="H136" s="103" t="n">
        <x:v>46184</x:v>
      </x:c>
      <x:c r="I136" s="85" t="n">
        <x:v>3</x:v>
      </x:c>
      <x:c r="J136" s="85" t="str">
        <x:v>线下</x:v>
      </x:c>
      <x:c r="K136" s="85" t="str">
        <x:v>回购</x:v>
      </x:c>
      <x:c r="L136" s="104" t="n">
        <x:v>3.35</x:v>
      </x:c>
      <x:c r="M136" s="85" t="str">
        <x:v>ZM026040112094860</x:v>
      </x:c>
      <x:c r="N136" s="85" t="str">
        <x:v>FXA26040112142000031</x:v>
      </x:c>
      <x:c r="O136" s="104" t="n">
        <x:v>6.7</x:v>
      </x:c>
      <x:c r="P136" s="104" t="n">
        <x:f>O136-L136</x:f>
        <x:v>3.35</x:v>
      </x:c>
      <x:c r="Q136" s="105" t="n">
        <x:f>IF(L136=0,"",O136/L136)</x:f>
        <x:v>2</x:v>
      </x:c>
      <x:c r="R136" s="85" t="str">
        <x:v>消费分期P0003账单金额高于嘉泰实收</x:v>
      </x:c>
    </x:row>
    <x:row r="137">
      <x:c r="A137" s="85" t="n">
        <x:v>136</x:v>
      </x:c>
      <x:c r="B137" s="85" t="str">
        <x:v>JLZM026031102274688_4</x:v>
      </x:c>
      <x:c r="C137" s="85" t="str">
        <x:v>FXA26031102270400041</x:v>
      </x:c>
      <x:c r="D137" s="85" t="str">
        <x:v>JZM026031102213355</x:v>
      </x:c>
      <x:c r="E137" s="85" t="str">
        <x:v>JLZM026031102274688</x:v>
      </x:c>
      <x:c r="F137" s="85" t="str">
        <x:v>THJTBL-JSSM-BL2026031100043</x:v>
      </x:c>
      <x:c r="G137" s="85" t="str">
        <x:v>张大伟</x:v>
      </x:c>
      <x:c r="H137" s="103" t="n">
        <x:v>46184</x:v>
      </x:c>
      <x:c r="I137" s="85" t="n">
        <x:v>4</x:v>
      </x:c>
      <x:c r="J137" s="85" t="str">
        <x:v>线下</x:v>
      </x:c>
      <x:c r="K137" s="85" t="str">
        <x:v>回购</x:v>
      </x:c>
      <x:c r="L137" s="104" t="n">
        <x:v>3.25</x:v>
      </x:c>
      <x:c r="M137" s="85" t="str">
        <x:v>ZM026031102211308</x:v>
      </x:c>
      <x:c r="N137" s="85" t="str">
        <x:v>FXA26031102261300041</x:v>
      </x:c>
      <x:c r="O137" s="104" t="n">
        <x:v>6.5</x:v>
      </x:c>
      <x:c r="P137" s="104" t="n">
        <x:f>O137-L137</x:f>
        <x:v>3.25</x:v>
      </x:c>
      <x:c r="Q137" s="105" t="n">
        <x:f>IF(L137=0,"",O137/L137)</x:f>
        <x:v>2</x:v>
      </x:c>
      <x:c r="R137" s="85" t="str">
        <x:v>消费分期P0003账单金额高于嘉泰实收</x:v>
      </x:c>
    </x:row>
    <x:row r="138">
      <x:c r="A138" s="85" t="n">
        <x:v>137</x:v>
      </x:c>
      <x:c r="B138" s="85" t="str">
        <x:v>JLZM026031116396281_4</x:v>
      </x:c>
      <x:c r="C138" s="85" t="str">
        <x:v>FXA26031116390700101</x:v>
      </x:c>
      <x:c r="D138" s="85" t="str">
        <x:v>JZM026031116332821</x:v>
      </x:c>
      <x:c r="E138" s="85" t="str">
        <x:v>JLZM026031116396281</x:v>
      </x:c>
      <x:c r="F138" s="85" t="str">
        <x:v>THJTBL-JSSM-BL2026031100575</x:v>
      </x:c>
      <x:c r="G138" s="85" t="str">
        <x:v>唐汤华</x:v>
      </x:c>
      <x:c r="H138" s="103" t="n">
        <x:v>46184</x:v>
      </x:c>
      <x:c r="I138" s="85" t="n">
        <x:v>4</x:v>
      </x:c>
      <x:c r="J138" s="85" t="str">
        <x:v>线下</x:v>
      </x:c>
      <x:c r="K138" s="85" t="str">
        <x:v>回购</x:v>
      </x:c>
      <x:c r="L138" s="104" t="n">
        <x:v>3.21</x:v>
      </x:c>
      <x:c r="M138" s="85" t="str">
        <x:v>ZM026031116334085</x:v>
      </x:c>
      <x:c r="N138" s="85" t="str">
        <x:v>FXA26031116382900041</x:v>
      </x:c>
      <x:c r="O138" s="104" t="n">
        <x:v>6.42</x:v>
      </x:c>
      <x:c r="P138" s="104" t="n">
        <x:f>O138-L138</x:f>
        <x:v>3.21</x:v>
      </x:c>
      <x:c r="Q138" s="105" t="n">
        <x:f>IF(L138=0,"",O138/L138)</x:f>
        <x:v>2</x:v>
      </x:c>
      <x:c r="R138" s="85" t="str">
        <x:v>消费分期P0003账单金额高于嘉泰实收</x:v>
      </x:c>
    </x:row>
    <x:row r="139">
      <x:c r="A139" s="85" t="n">
        <x:v>138</x:v>
      </x:c>
      <x:c r="B139" s="85" t="str">
        <x:v>JLZM026032217211429_3</x:v>
      </x:c>
      <x:c r="C139" s="85" t="str">
        <x:v>FXA26032217210800031</x:v>
      </x:c>
      <x:c r="D139" s="85" t="str">
        <x:v>JZM026032217130946</x:v>
      </x:c>
      <x:c r="E139" s="85" t="str">
        <x:v>JLZM026032217211429</x:v>
      </x:c>
      <x:c r="F139" s="85" t="str">
        <x:v>THJTBL-JSSM-BL2026032201458</x:v>
      </x:c>
      <x:c r="G139" s="85" t="str">
        <x:v>张献楠</x:v>
      </x:c>
      <x:c r="H139" s="103" t="n">
        <x:v>46184</x:v>
      </x:c>
      <x:c r="I139" s="85" t="n">
        <x:v>3</x:v>
      </x:c>
      <x:c r="J139" s="85" t="str">
        <x:v>线下</x:v>
      </x:c>
      <x:c r="K139" s="85" t="str">
        <x:v>回购</x:v>
      </x:c>
      <x:c r="L139" s="104" t="n">
        <x:v>2.66</x:v>
      </x:c>
      <x:c r="M139" s="85" t="str">
        <x:v>ZM026032217131267</x:v>
      </x:c>
      <x:c r="N139" s="85" t="str">
        <x:v>FXA26032217182200031</x:v>
      </x:c>
      <x:c r="O139" s="104" t="n">
        <x:v>5.33</x:v>
      </x:c>
      <x:c r="P139" s="104" t="n">
        <x:f>O139-L139</x:f>
        <x:v>2.67</x:v>
      </x:c>
      <x:c r="Q139" s="105" t="n">
        <x:f>IF(L139=0,"",O139/L139)</x:f>
        <x:v>2.0037593984962405</x:v>
      </x:c>
      <x:c r="R139" s="85" t="str">
        <x:v>消费分期P0003账单金额高于嘉泰实收</x:v>
      </x:c>
    </x:row>
    <x:row r="140">
      <x:c r="A140" s="85" t="n">
        <x:v>139</x:v>
      </x:c>
      <x:c r="B140" s="85" t="str">
        <x:v>JLZM026031911337459_3</x:v>
      </x:c>
      <x:c r="C140" s="85" t="str">
        <x:v>FXA26031911330500031</x:v>
      </x:c>
      <x:c r="D140" s="85" t="str">
        <x:v>JZM026031911250223</x:v>
      </x:c>
      <x:c r="E140" s="85" t="str">
        <x:v>JLZM026031911337459</x:v>
      </x:c>
      <x:c r="F140" s="85" t="str">
        <x:v>THJTBL-JSSM-BL2026031900383</x:v>
      </x:c>
      <x:c r="G140" s="85" t="str">
        <x:v>冯凯</x:v>
      </x:c>
      <x:c r="H140" s="103" t="n">
        <x:v>46184</x:v>
      </x:c>
      <x:c r="I140" s="85" t="n">
        <x:v>3</x:v>
      </x:c>
      <x:c r="J140" s="85" t="str">
        <x:v>线下</x:v>
      </x:c>
      <x:c r="K140" s="85" t="str">
        <x:v>回购</x:v>
      </x:c>
      <x:c r="L140" s="104" t="n">
        <x:v>2.66</x:v>
      </x:c>
      <x:c r="M140" s="85" t="str">
        <x:v>ZM026031911259899</x:v>
      </x:c>
      <x:c r="N140" s="85" t="str">
        <x:v>FXA26031911301200031</x:v>
      </x:c>
      <x:c r="O140" s="104" t="n">
        <x:v>5.32</x:v>
      </x:c>
      <x:c r="P140" s="104" t="n">
        <x:f>O140-L140</x:f>
        <x:v>2.66</x:v>
      </x:c>
      <x:c r="Q140" s="105" t="n">
        <x:f>IF(L140=0,"",O140/L140)</x:f>
        <x:v>2</x:v>
      </x:c>
      <x:c r="R140" s="85" t="str">
        <x:v>消费分期P0003账单金额高于嘉泰实收</x:v>
      </x:c>
    </x:row>
    <x:row r="141">
      <x:c r="A141" s="85" t="n">
        <x:v>140</x:v>
      </x:c>
      <x:c r="B141" s="85" t="str">
        <x:v>JLZM026041015405419_3</x:v>
      </x:c>
      <x:c r="C141" s="85" t="str">
        <x:v>FXA26041016060500091</x:v>
      </x:c>
      <x:c r="D141" s="85" t="str">
        <x:v>JZM026041015335844</x:v>
      </x:c>
      <x:c r="E141" s="85" t="str">
        <x:v>JLZM026041015405419</x:v>
      </x:c>
      <x:c r="F141" s="85" t="str">
        <x:v>THJTBL-JSSM-BL2026041003074</x:v>
      </x:c>
      <x:c r="G141" s="85" t="str">
        <x:v>张群</x:v>
      </x:c>
      <x:c r="H141" s="103" t="n">
        <x:v>46184</x:v>
      </x:c>
      <x:c r="I141" s="85" t="n">
        <x:v>3</x:v>
      </x:c>
      <x:c r="J141" s="85" t="str">
        <x:v>线下</x:v>
      </x:c>
      <x:c r="K141" s="85" t="str">
        <x:v>回购</x:v>
      </x:c>
      <x:c r="L141" s="104" t="n">
        <x:v>2.66</x:v>
      </x:c>
      <x:c r="M141" s="85" t="str">
        <x:v>ZM026041015334226</x:v>
      </x:c>
      <x:c r="N141" s="85" t="str">
        <x:v>FXA26041016050400031</x:v>
      </x:c>
      <x:c r="O141" s="104" t="n">
        <x:v>5.31</x:v>
      </x:c>
      <x:c r="P141" s="104" t="n">
        <x:f>O141-L141</x:f>
        <x:v>2.6499999999999995</x:v>
      </x:c>
      <x:c r="Q141" s="105" t="n">
        <x:f>IF(L141=0,"",O141/L141)</x:f>
        <x:v>1.996240601503759</x:v>
      </x:c>
      <x:c r="R141" s="85" t="str">
        <x:v>消费分期P0003账单金额高于嘉泰实收</x:v>
      </x:c>
    </x:row>
    <x:row r="142">
      <x:c r="A142" s="85" t="n">
        <x:v>141</x:v>
      </x:c>
      <x:c r="B142" s="85" t="str">
        <x:v>JLZM026022701330301_4</x:v>
      </x:c>
      <x:c r="C142" s="85" t="str">
        <x:v>FXA26022701333300041</x:v>
      </x:c>
      <x:c r="D142" s="85" t="str">
        <x:v>JZM026022701250701</x:v>
      </x:c>
      <x:c r="E142" s="85" t="str">
        <x:v>JLZM026022701330301</x:v>
      </x:c>
      <x:c r="F142" s="85" t="str">
        <x:v>THJTBL-JSSM-BL2026022700011</x:v>
      </x:c>
      <x:c r="G142" s="85" t="str">
        <x:v>李韩</x:v>
      </x:c>
      <x:c r="H142" s="103" t="n">
        <x:v>46184</x:v>
      </x:c>
      <x:c r="I142" s="85" t="n">
        <x:v>4</x:v>
      </x:c>
      <x:c r="J142" s="85" t="str">
        <x:v>线下</x:v>
      </x:c>
      <x:c r="K142" s="85" t="str">
        <x:v>回购</x:v>
      </x:c>
      <x:c r="L142" s="104" t="n">
        <x:v>2.5</x:v>
      </x:c>
      <x:c r="M142" s="85" t="str">
        <x:v>ZM026022701252435</x:v>
      </x:c>
      <x:c r="N142" s="85" t="str">
        <x:v>FXA26022701305500041</x:v>
      </x:c>
      <x:c r="O142" s="104" t="n">
        <x:v>5</x:v>
      </x:c>
      <x:c r="P142" s="104" t="n">
        <x:f>O142-L142</x:f>
        <x:v>2.5</x:v>
      </x:c>
      <x:c r="Q142" s="105" t="n">
        <x:f>IF(L142=0,"",O142/L142)</x:f>
        <x:v>2</x:v>
      </x:c>
      <x:c r="R142" s="85" t="str">
        <x:v>消费分期P0003账单金额高于嘉泰实收</x:v>
      </x:c>
    </x:row>
    <x:row r="143">
      <x:c r="A143" s="85" t="n">
        <x:v>142</x:v>
      </x:c>
      <x:c r="B143" s="85" t="str">
        <x:v>JLZM026031814036569_3</x:v>
      </x:c>
      <x:c r="C143" s="85" t="str">
        <x:v>FXA26031814030500031</x:v>
      </x:c>
      <x:c r="D143" s="85" t="str">
        <x:v>JZM026031813579382</x:v>
      </x:c>
      <x:c r="E143" s="85" t="str">
        <x:v>JLZM026031814036569</x:v>
      </x:c>
      <x:c r="F143" s="85" t="str">
        <x:v>THJTBL-JSSM-BL2026031800779</x:v>
      </x:c>
      <x:c r="G143" s="85" t="str">
        <x:v>王磊</x:v>
      </x:c>
      <x:c r="H143" s="103" t="n">
        <x:v>46184</x:v>
      </x:c>
      <x:c r="I143" s="85" t="n">
        <x:v>3</x:v>
      </x:c>
      <x:c r="J143" s="85" t="str">
        <x:v>线下</x:v>
      </x:c>
      <x:c r="K143" s="85" t="str">
        <x:v>回购</x:v>
      </x:c>
      <x:c r="L143" s="104" t="n">
        <x:v>1.24</x:v>
      </x:c>
      <x:c r="M143" s="85" t="str">
        <x:v>ZM026031813577596</x:v>
      </x:c>
      <x:c r="N143" s="85" t="str">
        <x:v>FXA26031814021600031</x:v>
      </x:c>
      <x:c r="O143" s="104" t="n">
        <x:v>2.48</x:v>
      </x:c>
      <x:c r="P143" s="104" t="n">
        <x:f>O143-L143</x:f>
        <x:v>1.24</x:v>
      </x:c>
      <x:c r="Q143" s="105" t="n">
        <x:f>IF(L143=0,"",O143/L143)</x:f>
        <x:v>2</x:v>
      </x:c>
      <x:c r="R143" s="85" t="str">
        <x:v>消费分期P0003账单金额高于嘉泰实收</x:v>
      </x:c>
    </x:row>
    <x:row r="144">
      <x:c r="A144" s="85" t="n">
        <x:v>143</x:v>
      </x:c>
      <x:c r="B144" s="85" t="str">
        <x:v>JLZM026031520248969_4</x:v>
      </x:c>
      <x:c r="C144" s="85" t="str">
        <x:v>FXA26031520240800041</x:v>
      </x:c>
      <x:c r="D144" s="85" t="str">
        <x:v>JZM026031520171828</x:v>
      </x:c>
      <x:c r="E144" s="85" t="str">
        <x:v>JLZM026031520248969</x:v>
      </x:c>
      <x:c r="F144" s="85" t="str">
        <x:v>THJTBL-JSSM-BL2026031500167</x:v>
      </x:c>
      <x:c r="G144" s="85" t="str">
        <x:v>国彩娜</x:v>
      </x:c>
      <x:c r="H144" s="103" t="n">
        <x:v>46184</x:v>
      </x:c>
      <x:c r="I144" s="85" t="n">
        <x:v>4</x:v>
      </x:c>
      <x:c r="J144" s="85" t="str">
        <x:v>线下</x:v>
      </x:c>
      <x:c r="K144" s="85" t="str">
        <x:v>回购</x:v>
      </x:c>
      <x:c r="L144" s="104" t="n">
        <x:v>0.95</x:v>
      </x:c>
      <x:c r="M144" s="85" t="str">
        <x:v>ZM026031520179249</x:v>
      </x:c>
      <x:c r="N144" s="85" t="str">
        <x:v>FXA26031520222200041</x:v>
      </x:c>
      <x:c r="O144" s="104" t="n">
        <x:v>1.9</x:v>
      </x:c>
      <x:c r="P144" s="104" t="n">
        <x:f>O144-L144</x:f>
        <x:v>0.95</x:v>
      </x:c>
      <x:c r="Q144" s="105" t="n">
        <x:f>IF(L144=0,"",O144/L144)</x:f>
        <x:v>2</x:v>
      </x:c>
      <x:c r="R144" s="85" t="str">
        <x:v>消费分期P0003账单金额高于嘉泰实收</x:v>
      </x:c>
    </x:row>
    <x:row r="145">
      <x:c r="A145" s="85" t="n">
        <x:v>144</x:v>
      </x:c>
      <x:c r="B145" s="85" t="str">
        <x:v>JLZM026022517331478_5</x:v>
      </x:c>
      <x:c r="C145" s="85" t="str">
        <x:v>FXA26022517331800111</x:v>
      </x:c>
      <x:c r="D145" s="85" t="str">
        <x:v>JZM026022517305106</x:v>
      </x:c>
      <x:c r="E145" s="85" t="str">
        <x:v>JLZM026022517331478</x:v>
      </x:c>
      <x:c r="F145" s="85" t="str">
        <x:v>THJTBL-JSSM-BL2026022500738</x:v>
      </x:c>
      <x:c r="G145" s="85" t="str">
        <x:v>黄平</x:v>
      </x:c>
      <x:c r="H145" s="103" t="n">
        <x:v>46184</x:v>
      </x:c>
      <x:c r="I145" s="85" t="n">
        <x:v>5</x:v>
      </x:c>
      <x:c r="J145" s="85" t="str">
        <x:v>线下</x:v>
      </x:c>
      <x:c r="K145" s="85" t="str">
        <x:v>回购</x:v>
      </x:c>
      <x:c r="L145" s="104" t="n">
        <x:v>0.72</x:v>
      </x:c>
      <x:c r="M145" s="85" t="str">
        <x:v>ZM026022517295036</x:v>
      </x:c>
      <x:c r="N145" s="85" t="str">
        <x:v>FXA26022517322000051</x:v>
      </x:c>
      <x:c r="O145" s="104" t="n">
        <x:v>1.45</x:v>
      </x:c>
      <x:c r="P145" s="104" t="n">
        <x:f>O145-L145</x:f>
        <x:v>0.73</x:v>
      </x:c>
      <x:c r="Q145" s="105" t="n">
        <x:f>IF(L145=0,"",O145/L145)</x:f>
        <x:v>2.013888888888889</x:v>
      </x:c>
      <x:c r="R145" s="85" t="str">
        <x:v>消费分期P0003账单金额高于嘉泰实收</x:v>
      </x:c>
    </x:row>
    <x:row r="146">
      <x:c r="A146" s="85" t="n">
        <x:v>145</x:v>
      </x:c>
      <x:c r="B146" s="85" t="str">
        <x:v>JLZM026022616270173_5</x:v>
      </x:c>
      <x:c r="C146" s="85" t="str">
        <x:v>FXA26022616270600111</x:v>
      </x:c>
      <x:c r="D146" s="85" t="str">
        <x:v>JZM026022616219782</x:v>
      </x:c>
      <x:c r="E146" s="85" t="str">
        <x:v>JLZM026022616270173</x:v>
      </x:c>
      <x:c r="F146" s="85" t="str">
        <x:v>THJTBL-JSSM-BL2026022600196</x:v>
      </x:c>
      <x:c r="G146" s="85" t="str">
        <x:v>温耀童</x:v>
      </x:c>
      <x:c r="H146" s="103" t="n">
        <x:v>46184</x:v>
      </x:c>
      <x:c r="I146" s="85" t="n">
        <x:v>5</x:v>
      </x:c>
      <x:c r="J146" s="85" t="str">
        <x:v>线下</x:v>
      </x:c>
      <x:c r="K146" s="85" t="str">
        <x:v>回购</x:v>
      </x:c>
      <x:c r="L146" s="104" t="n">
        <x:v>0.4</x:v>
      </x:c>
      <x:c r="M146" s="85" t="str">
        <x:v>ZM026022616212451</x:v>
      </x:c>
      <x:c r="N146" s="85" t="str">
        <x:v>FXA26022616262700051</x:v>
      </x:c>
      <x:c r="O146" s="104" t="n">
        <x:v>0.8</x:v>
      </x:c>
      <x:c r="P146" s="104" t="n">
        <x:f>O146-L146</x:f>
        <x:v>0.4</x:v>
      </x:c>
      <x:c r="Q146" s="105" t="n">
        <x:f>IF(L146=0,"",O146/L146)</x:f>
        <x:v>2</x:v>
      </x:c>
      <x:c r="R146" s="85" t="str">
        <x:v>消费分期P0003账单金额高于嘉泰实收</x:v>
      </x:c>
    </x:row>
    <x:row r="147">
      <x:c r="A147" s="85" t="n">
        <x:v>146</x:v>
      </x:c>
      <x:c r="B147" s="85" t="str">
        <x:v>JLZM026022611452514_5</x:v>
      </x:c>
      <x:c r="C147" s="85" t="str">
        <x:v>FXA26022611450500051</x:v>
      </x:c>
      <x:c r="D147" s="85" t="str">
        <x:v>JZM026022611411656</x:v>
      </x:c>
      <x:c r="E147" s="85" t="str">
        <x:v>JLZM026022611452514</x:v>
      </x:c>
      <x:c r="F147" s="85" t="str">
        <x:v>THJTBL-JSSM-BL2026022600066</x:v>
      </x:c>
      <x:c r="G147" s="85" t="str">
        <x:v>陆白冰</x:v>
      </x:c>
      <x:c r="H147" s="103" t="n">
        <x:v>46184</x:v>
      </x:c>
      <x:c r="I147" s="85" t="n">
        <x:v>5</x:v>
      </x:c>
      <x:c r="J147" s="85" t="str">
        <x:v>线下</x:v>
      </x:c>
      <x:c r="K147" s="85" t="str">
        <x:v>回购</x:v>
      </x:c>
      <x:c r="L147" s="104" t="n">
        <x:v>0.29</x:v>
      </x:c>
      <x:c r="M147" s="85" t="str">
        <x:v>ZM026022611419040</x:v>
      </x:c>
      <x:c r="N147" s="85" t="str">
        <x:v>FXA26022611441300051</x:v>
      </x:c>
      <x:c r="O147" s="104" t="n">
        <x:v>0.58</x:v>
      </x:c>
      <x:c r="P147" s="104" t="n">
        <x:f>O147-L147</x:f>
        <x:v>0.29</x:v>
      </x:c>
      <x:c r="Q147" s="105" t="n">
        <x:f>IF(L147=0,"",O147/L147)</x:f>
        <x:v>2</x:v>
      </x:c>
      <x:c r="R147" s="85" t="str">
        <x:v>消费分期P0003账单金额高于嘉泰实收</x:v>
      </x:c>
    </x:row>
    <x:row r="148">
      <x:c r="A148" s="85" t="n">
        <x:v>147</x:v>
      </x:c>
      <x:c r="B148" s="85" t="str">
        <x:v>JLZM026022614005496_5</x:v>
      </x:c>
      <x:c r="C148" s="85" t="str">
        <x:v>FXA26022614001000051</x:v>
      </x:c>
      <x:c r="D148" s="85" t="str">
        <x:v>JZM026022613535208</x:v>
      </x:c>
      <x:c r="E148" s="85" t="str">
        <x:v>JLZM026022614005496</x:v>
      </x:c>
      <x:c r="F148" s="85" t="str">
        <x:v>THJTBL-JSSM-BL2026022600133</x:v>
      </x:c>
      <x:c r="G148" s="85" t="str">
        <x:v>李梓萌</x:v>
      </x:c>
      <x:c r="H148" s="103" t="n">
        <x:v>46184</x:v>
      </x:c>
      <x:c r="I148" s="85" t="n">
        <x:v>5</x:v>
      </x:c>
      <x:c r="J148" s="85" t="str">
        <x:v>线下</x:v>
      </x:c>
      <x:c r="K148" s="85" t="str">
        <x:v>回购</x:v>
      </x:c>
      <x:c r="L148" s="104" t="n">
        <x:v>0.25</x:v>
      </x:c>
      <x:c r="M148" s="85" t="str">
        <x:v>ZM026022613534148</x:v>
      </x:c>
      <x:c r="N148" s="85" t="str">
        <x:v>FXA26022613581900051</x:v>
      </x:c>
      <x:c r="O148" s="104" t="n">
        <x:v>0.5</x:v>
      </x:c>
      <x:c r="P148" s="104" t="n">
        <x:f>O148-L148</x:f>
        <x:v>0.25</x:v>
      </x:c>
      <x:c r="Q148" s="105" t="n">
        <x:f>IF(L148=0,"",O148/L148)</x:f>
        <x:v>2</x:v>
      </x:c>
      <x:c r="R148" s="85" t="str">
        <x:v>消费分期P0003账单金额高于嘉泰实收</x:v>
      </x:c>
    </x:row>
    <x:row r="149">
      <x:c r="A149" s="88" t="n">
        <x:v>148</x:v>
      </x:c>
      <x:c r="B149" s="88" t="str">
        <x:v>JLZM026022417099976_5</x:v>
      </x:c>
      <x:c r="C149" s="88" t="str">
        <x:v>FXA26022417090500111</x:v>
      </x:c>
      <x:c r="D149" s="88" t="str">
        <x:v>JZM026022417022557</x:v>
      </x:c>
      <x:c r="E149" s="88" t="str">
        <x:v>JLZM026022417099976</x:v>
      </x:c>
      <x:c r="F149" s="88" t="str">
        <x:v>THJTBL-JSSM-BL2026022400296</x:v>
      </x:c>
      <x:c r="G149" s="88" t="str">
        <x:v>徐念</x:v>
      </x:c>
      <x:c r="H149" s="106" t="n">
        <x:v>46184</x:v>
      </x:c>
      <x:c r="I149" s="88" t="n">
        <x:v>5</x:v>
      </x:c>
      <x:c r="J149" s="88" t="str">
        <x:v>线下</x:v>
      </x:c>
      <x:c r="K149" s="88" t="str">
        <x:v>回购</x:v>
      </x:c>
      <x:c r="L149" s="107" t="n">
        <x:v>0.04</x:v>
      </x:c>
      <x:c r="M149" s="88" t="str">
        <x:v>ZM026022417024439</x:v>
      </x:c>
      <x:c r="N149" s="88" t="str">
        <x:v>FXA26022417063700051</x:v>
      </x:c>
      <x:c r="O149" s="107" t="n">
        <x:v>0.08</x:v>
      </x:c>
      <x:c r="P149" s="107" t="n">
        <x:f>O149-L149</x:f>
        <x:v>0.04</x:v>
      </x:c>
      <x:c r="Q149" s="108" t="n">
        <x:f>IF(L149=0,"",O149/L149)</x:f>
        <x:v>2</x:v>
      </x:c>
      <x:c r="R149" s="88" t="str">
        <x:v>消费分期P0003账单金额高于嘉泰实收</x:v>
      </x:c>
    </x:row>
  </x:sheetData>
  <x:conditionalFormatting sqref="P2:P149">
    <x:cfRule type="cellIs" dxfId="1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89087238e64a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0" hidden="0" customWidth="1"/>
    <x:col min="5" max="5" width="20" hidden="0" customWidth="1"/>
  </x:cols>
  <x:sheetData>
    <x:row r="1" ht="32" customHeight="1">
      <x:c r="A1" s="67" t="str">
        <x:v>资方服务费按实还日期汇总</x:v>
      </x:c>
      <x:c r="B1" s="67" t="str">
        <x:v>资方服务费按实还日期汇总</x:v>
      </x:c>
      <x:c r="C1" s="67" t="str">
        <x:v>资方服务费按实还日期汇总</x:v>
      </x:c>
      <x:c r="D1" s="69"/>
      <x:c r="E1" s="115" t="str">
        <x:v>文件范围总额</x:v>
      </x:c>
    </x:row>
    <x:row r="2">
      <x:c r="A2" s="69"/>
      <x:c r="B2" s="69"/>
      <x:c r="C2" s="69"/>
      <x:c r="D2" s="69"/>
      <x:c r="E2" s="116" t="n">
        <x:f>SUM(C4:C38)</x:f>
        <x:v>4572948.5</x:v>
      </x:c>
    </x:row>
    <x:row r="3" ht="28" customHeight="1">
      <x:c r="A3" s="70" t="str">
        <x:v>实还日期</x:v>
      </x:c>
      <x:c r="B3" s="70" t="str">
        <x:v>笔数</x:v>
      </x:c>
      <x:c r="C3" s="70" t="str">
        <x:v>嘉泰实收服务费</x:v>
      </x:c>
      <x:c r="D3" s="69"/>
      <x:c r="E3" s="69"/>
    </x:row>
    <x:row r="4">
      <x:c r="A4" s="100" t="n">
        <x:v>46169</x:v>
      </x:c>
      <x:c r="B4" s="83" t="n">
        <x:v>278</x:v>
      </x:c>
      <x:c r="C4" s="101" t="n">
        <x:v>10515.04</x:v>
      </x:c>
      <x:c r="D4" s="69"/>
      <x:c r="E4" s="69"/>
    </x:row>
    <x:row r="5">
      <x:c r="A5" s="103" t="n">
        <x:v>46170</x:v>
      </x:c>
      <x:c r="B5" s="86" t="n">
        <x:v>2465</x:v>
      </x:c>
      <x:c r="C5" s="104" t="n">
        <x:v>84894.1</x:v>
      </x:c>
      <x:c r="D5" s="69"/>
      <x:c r="E5" s="69"/>
    </x:row>
    <x:row r="6">
      <x:c r="A6" s="103" t="n">
        <x:v>46171</x:v>
      </x:c>
      <x:c r="B6" s="86" t="n">
        <x:v>35</x:v>
      </x:c>
      <x:c r="C6" s="104" t="n">
        <x:v>524.35</x:v>
      </x:c>
      <x:c r="D6" s="69"/>
      <x:c r="E6" s="69"/>
    </x:row>
    <x:row r="7">
      <x:c r="A7" s="103" t="n">
        <x:v>46172</x:v>
      </x:c>
      <x:c r="B7" s="86" t="n">
        <x:v>48</x:v>
      </x:c>
      <x:c r="C7" s="104" t="n">
        <x:v>791.42</x:v>
      </x:c>
      <x:c r="D7" s="69"/>
      <x:c r="E7" s="69"/>
    </x:row>
    <x:row r="8">
      <x:c r="A8" s="103" t="n">
        <x:v>46173</x:v>
      </x:c>
      <x:c r="B8" s="86" t="n">
        <x:v>46</x:v>
      </x:c>
      <x:c r="C8" s="104" t="n">
        <x:v>825.64</x:v>
      </x:c>
      <x:c r="D8" s="69"/>
      <x:c r="E8" s="69"/>
    </x:row>
    <x:row r="9">
      <x:c r="A9" s="103" t="n">
        <x:v>46174</x:v>
      </x:c>
      <x:c r="B9" s="86" t="n">
        <x:v>870</x:v>
      </x:c>
      <x:c r="C9" s="104" t="n">
        <x:v>39725.82</x:v>
      </x:c>
      <x:c r="D9" s="69"/>
      <x:c r="E9" s="69"/>
    </x:row>
    <x:row r="10">
      <x:c r="A10" s="103" t="n">
        <x:v>46175</x:v>
      </x:c>
      <x:c r="B10" s="86" t="n">
        <x:v>330</x:v>
      </x:c>
      <x:c r="C10" s="104" t="n">
        <x:v>13851.65</x:v>
      </x:c>
      <x:c r="D10" s="69"/>
      <x:c r="E10" s="69"/>
    </x:row>
    <x:row r="11">
      <x:c r="A11" s="103" t="n">
        <x:v>46176</x:v>
      </x:c>
      <x:c r="B11" s="86" t="n">
        <x:v>347</x:v>
      </x:c>
      <x:c r="C11" s="104" t="n">
        <x:v>15929.43</x:v>
      </x:c>
      <x:c r="D11" s="69"/>
      <x:c r="E11" s="69"/>
    </x:row>
    <x:row r="12">
      <x:c r="A12" s="103" t="n">
        <x:v>46177</x:v>
      </x:c>
      <x:c r="B12" s="86" t="n">
        <x:v>305</x:v>
      </x:c>
      <x:c r="C12" s="104" t="n">
        <x:v>11950.52</x:v>
      </x:c>
      <x:c r="D12" s="69"/>
      <x:c r="E12" s="69"/>
    </x:row>
    <x:row r="13">
      <x:c r="A13" s="103" t="n">
        <x:v>46178</x:v>
      </x:c>
      <x:c r="B13" s="86" t="n">
        <x:v>310</x:v>
      </x:c>
      <x:c r="C13" s="104" t="n">
        <x:v>15069.9</x:v>
      </x:c>
      <x:c r="D13" s="69"/>
      <x:c r="E13" s="69"/>
    </x:row>
    <x:row r="14">
      <x:c r="A14" s="103" t="n">
        <x:v>46179</x:v>
      </x:c>
      <x:c r="B14" s="86" t="n">
        <x:v>565</x:v>
      </x:c>
      <x:c r="C14" s="104" t="n">
        <x:v>25488.17</x:v>
      </x:c>
      <x:c r="D14" s="69"/>
      <x:c r="E14" s="69"/>
    </x:row>
    <x:row r="15">
      <x:c r="A15" s="103" t="n">
        <x:v>46180</x:v>
      </x:c>
      <x:c r="B15" s="86" t="n">
        <x:v>835</x:v>
      </x:c>
      <x:c r="C15" s="104" t="n">
        <x:v>38097.46</x:v>
      </x:c>
      <x:c r="D15" s="69"/>
      <x:c r="E15" s="69"/>
    </x:row>
    <x:row r="16">
      <x:c r="A16" s="103" t="n">
        <x:v>46181</x:v>
      </x:c>
      <x:c r="B16" s="86" t="n">
        <x:v>1995</x:v>
      </x:c>
      <x:c r="C16" s="104" t="n">
        <x:v>96584.49</x:v>
      </x:c>
      <x:c r="D16" s="69"/>
      <x:c r="E16" s="69"/>
    </x:row>
    <x:row r="17">
      <x:c r="A17" s="103" t="n">
        <x:v>46182</x:v>
      </x:c>
      <x:c r="B17" s="86" t="n">
        <x:v>6977</x:v>
      </x:c>
      <x:c r="C17" s="104" t="n">
        <x:v>336322.76</x:v>
      </x:c>
      <x:c r="D17" s="69"/>
      <x:c r="E17" s="69"/>
    </x:row>
    <x:row r="18">
      <x:c r="A18" s="103" t="n">
        <x:v>46183</x:v>
      </x:c>
      <x:c r="B18" s="86" t="n">
        <x:v>22586</x:v>
      </x:c>
      <x:c r="C18" s="104" t="n">
        <x:v>1126316.19</x:v>
      </x:c>
      <x:c r="D18" s="69"/>
      <x:c r="E18" s="69"/>
    </x:row>
    <x:row r="19">
      <x:c r="A19" s="103" t="n">
        <x:v>46184</x:v>
      </x:c>
      <x:c r="B19" s="86" t="n">
        <x:v>5230</x:v>
      </x:c>
      <x:c r="C19" s="104" t="n">
        <x:v>229768.15</x:v>
      </x:c>
      <x:c r="D19" s="69"/>
      <x:c r="E19" s="69"/>
    </x:row>
    <x:row r="20">
      <x:c r="A20" s="103" t="n">
        <x:v>46185</x:v>
      </x:c>
      <x:c r="B20" s="86" t="n">
        <x:v>1104</x:v>
      </x:c>
      <x:c r="C20" s="104" t="n">
        <x:v>50620.38</x:v>
      </x:c>
      <x:c r="D20" s="69"/>
      <x:c r="E20" s="69"/>
    </x:row>
    <x:row r="21">
      <x:c r="A21" s="103" t="n">
        <x:v>46186</x:v>
      </x:c>
      <x:c r="B21" s="86" t="n">
        <x:v>8285</x:v>
      </x:c>
      <x:c r="C21" s="104" t="n">
        <x:v>282105.05</x:v>
      </x:c>
      <x:c r="D21" s="69"/>
      <x:c r="E21" s="69"/>
    </x:row>
    <x:row r="22">
      <x:c r="A22" s="103" t="n">
        <x:v>46187</x:v>
      </x:c>
      <x:c r="B22" s="86" t="n">
        <x:v>1596</x:v>
      </x:c>
      <x:c r="C22" s="104" t="n">
        <x:v>70063.27</x:v>
      </x:c>
      <x:c r="D22" s="69"/>
      <x:c r="E22" s="69"/>
    </x:row>
    <x:row r="23">
      <x:c r="A23" s="103" t="n">
        <x:v>46188</x:v>
      </x:c>
      <x:c r="B23" s="86" t="n">
        <x:v>9138</x:v>
      </x:c>
      <x:c r="C23" s="104" t="n">
        <x:v>377357.64</x:v>
      </x:c>
      <x:c r="D23" s="69"/>
      <x:c r="E23" s="69"/>
    </x:row>
    <x:row r="24">
      <x:c r="A24" s="103" t="n">
        <x:v>46189</x:v>
      </x:c>
      <x:c r="B24" s="86" t="n">
        <x:v>2490</x:v>
      </x:c>
      <x:c r="C24" s="104" t="n">
        <x:v>101053.66</x:v>
      </x:c>
      <x:c r="D24" s="69"/>
      <x:c r="E24" s="69"/>
    </x:row>
    <x:row r="25">
      <x:c r="A25" s="103" t="n">
        <x:v>46190</x:v>
      </x:c>
      <x:c r="B25" s="86" t="n">
        <x:v>797</x:v>
      </x:c>
      <x:c r="C25" s="104" t="n">
        <x:v>29581.08</x:v>
      </x:c>
      <x:c r="D25" s="69"/>
      <x:c r="E25" s="69"/>
    </x:row>
    <x:row r="26">
      <x:c r="A26" s="103" t="n">
        <x:v>46191</x:v>
      </x:c>
      <x:c r="B26" s="86" t="n">
        <x:v>4392</x:v>
      </x:c>
      <x:c r="C26" s="104" t="n">
        <x:v>143239.52</x:v>
      </x:c>
      <x:c r="D26" s="69"/>
      <x:c r="E26" s="69"/>
    </x:row>
    <x:row r="27">
      <x:c r="A27" s="103" t="n">
        <x:v>46192</x:v>
      </x:c>
      <x:c r="B27" s="86" t="n">
        <x:v>1927</x:v>
      </x:c>
      <x:c r="C27" s="104" t="n">
        <x:v>77270</x:v>
      </x:c>
      <x:c r="D27" s="69"/>
      <x:c r="E27" s="69"/>
    </x:row>
    <x:row r="28">
      <x:c r="A28" s="103" t="n">
        <x:v>46193</x:v>
      </x:c>
      <x:c r="B28" s="86" t="n">
        <x:v>8950</x:v>
      </x:c>
      <x:c r="C28" s="104" t="n">
        <x:v>360440.22</x:v>
      </x:c>
      <x:c r="D28" s="69"/>
      <x:c r="E28" s="69"/>
    </x:row>
    <x:row r="29">
      <x:c r="A29" s="103" t="n">
        <x:v>46194</x:v>
      </x:c>
      <x:c r="B29" s="86" t="n">
        <x:v>2266</x:v>
      </x:c>
      <x:c r="C29" s="104" t="n">
        <x:v>88822.84</x:v>
      </x:c>
      <x:c r="D29" s="69"/>
      <x:c r="E29" s="69"/>
    </x:row>
    <x:row r="30">
      <x:c r="A30" s="103" t="n">
        <x:v>46195</x:v>
      </x:c>
      <x:c r="B30" s="86" t="n">
        <x:v>932</x:v>
      </x:c>
      <x:c r="C30" s="104" t="n">
        <x:v>33999.7</x:v>
      </x:c>
      <x:c r="D30" s="69"/>
      <x:c r="E30" s="69"/>
    </x:row>
    <x:row r="31">
      <x:c r="A31" s="103" t="n">
        <x:v>46196</x:v>
      </x:c>
      <x:c r="B31" s="86" t="n">
        <x:v>4725</x:v>
      </x:c>
      <x:c r="C31" s="104" t="n">
        <x:v>140741.76</x:v>
      </x:c>
      <x:c r="D31" s="69"/>
      <x:c r="E31" s="69"/>
    </x:row>
    <x:row r="32">
      <x:c r="A32" s="103" t="n">
        <x:v>46197</x:v>
      </x:c>
      <x:c r="B32" s="86" t="n">
        <x:v>2423</x:v>
      </x:c>
      <x:c r="C32" s="104" t="n">
        <x:v>94990.37</x:v>
      </x:c>
      <x:c r="D32" s="69"/>
      <x:c r="E32" s="69"/>
    </x:row>
    <x:row r="33">
      <x:c r="A33" s="103" t="n">
        <x:v>46198</x:v>
      </x:c>
      <x:c r="B33" s="86" t="n">
        <x:v>10732</x:v>
      </x:c>
      <x:c r="C33" s="104" t="n">
        <x:v>432667.55</x:v>
      </x:c>
      <x:c r="D33" s="69"/>
      <x:c r="E33" s="69"/>
    </x:row>
    <x:row r="34">
      <x:c r="A34" s="103" t="n">
        <x:v>46199</x:v>
      </x:c>
      <x:c r="B34" s="86" t="n">
        <x:v>2873</x:v>
      </x:c>
      <x:c r="C34" s="104" t="n">
        <x:v>106877.42</x:v>
      </x:c>
      <x:c r="D34" s="69"/>
      <x:c r="E34" s="69"/>
    </x:row>
    <x:row r="35">
      <x:c r="A35" s="103" t="n">
        <x:v>46200</x:v>
      </x:c>
      <x:c r="B35" s="86" t="n">
        <x:v>337</x:v>
      </x:c>
      <x:c r="C35" s="104" t="n">
        <x:v>11605.95</x:v>
      </x:c>
      <x:c r="D35" s="69"/>
      <x:c r="E35" s="69"/>
    </x:row>
    <x:row r="36">
      <x:c r="A36" s="103" t="n">
        <x:v>46201</x:v>
      </x:c>
      <x:c r="B36" s="86" t="n">
        <x:v>5218</x:v>
      </x:c>
      <x:c r="C36" s="104" t="n">
        <x:v>123922.38</x:v>
      </x:c>
      <x:c r="D36" s="69"/>
      <x:c r="E36" s="69"/>
    </x:row>
    <x:row r="37">
      <x:c r="A37" s="103" t="n">
        <x:v>46202</x:v>
      </x:c>
      <x:c r="B37" s="86" t="n">
        <x:v>64</x:v>
      </x:c>
      <x:c r="C37" s="104" t="n">
        <x:v>878.76</x:v>
      </x:c>
      <x:c r="D37" s="69"/>
      <x:c r="E37" s="69"/>
    </x:row>
    <x:row r="38">
      <x:c r="A38" s="106" t="n">
        <x:v>46203</x:v>
      </x:c>
      <x:c r="B38" s="89" t="n">
        <x:v>8</x:v>
      </x:c>
      <x:c r="C38" s="107" t="n">
        <x:v>55.86</x:v>
      </x:c>
      <x:c r="D38" s="69"/>
      <x:c r="E38" s="69"/>
    </x:row>
    <x:row r="39">
      <x:c r="A39" s="69"/>
      <x:c r="B39" s="69"/>
      <x:c r="C39" s="69"/>
      <x:c r="D39" s="69"/>
      <x:c r="E39" s="69"/>
    </x:row>
    <x:row r="40">
      <x:c r="A40" s="69"/>
      <x:c r="B40" s="69"/>
      <x:c r="C40" s="69"/>
      <x:c r="D40" s="69"/>
      <x:c r="E40" s="69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fc3a62bbabf444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6" max="6" width="16" hidden="0" customWidth="1"/>
    <x:col min="2" max="2" width="13" hidden="0" customWidth="1"/>
    <x:col min="4" max="4" width="13" hidden="0" customWidth="1"/>
    <x:col min="7" max="7" width="13" hidden="0" customWidth="1"/>
    <x:col min="3" max="3" width="20" hidden="0" customWidth="1"/>
    <x:col min="8" max="8" width="20" hidden="0" customWidth="1"/>
  </x:cols>
  <x:sheetData>
    <x:row r="1" ht="32" customHeight="1">
      <x:c r="A1" s="67" t="str">
        <x:v>资方服务费按结算方式与还款方式汇总</x:v>
      </x:c>
      <x:c r="B1" s="67" t="str">
        <x:v>资方服务费按结算方式与还款方式汇总</x:v>
      </x:c>
      <x:c r="C1" s="67" t="str">
        <x:v>资方服务费按结算方式与还款方式汇总</x:v>
      </x:c>
      <x:c r="D1" s="67" t="str">
        <x:v>资方服务费按结算方式与还款方式汇总</x:v>
      </x:c>
      <x:c r="E1" s="67" t="str">
        <x:v>资方服务费按结算方式与还款方式汇总</x:v>
      </x:c>
      <x:c r="F1" s="67" t="str">
        <x:v>资方服务费按结算方式与还款方式汇总</x:v>
      </x:c>
      <x:c r="G1" s="67" t="str">
        <x:v>资方服务费按结算方式与还款方式汇总</x:v>
      </x:c>
      <x:c r="H1" s="67" t="str">
        <x:v>资方服务费按结算方式与还款方式汇总</x:v>
      </x:c>
    </x:row>
    <x:row r="2">
      <x:c r="A2" s="69"/>
      <x:c r="B2" s="69"/>
      <x:c r="C2" s="69"/>
      <x:c r="D2" s="69"/>
      <x:c r="E2" s="69"/>
      <x:c r="F2" s="69"/>
      <x:c r="G2" s="69"/>
      <x:c r="H2" s="69"/>
    </x:row>
    <x:row r="3" ht="28" customHeight="1">
      <x:c r="A3" s="70" t="str">
        <x:v>结算方式</x:v>
      </x:c>
      <x:c r="B3" s="70" t="str">
        <x:v>笔数</x:v>
      </x:c>
      <x:c r="C3" s="70" t="str">
        <x:v>嘉泰实收服务费</x:v>
      </x:c>
      <x:c r="D3" s="70" t="str">
        <x:v>金额占比</x:v>
      </x:c>
      <x:c r="E3" s="69"/>
      <x:c r="F3" s="70" t="str">
        <x:v>还款方式</x:v>
      </x:c>
      <x:c r="G3" s="70" t="str">
        <x:v>笔数</x:v>
      </x:c>
      <x:c r="H3" s="70" t="str">
        <x:v>嘉泰实收服务费</x:v>
      </x:c>
    </x:row>
    <x:row r="4">
      <x:c r="A4" s="82" t="str">
        <x:v>代偿</x:v>
      </x:c>
      <x:c r="B4" s="83" t="n">
        <x:v>14012</x:v>
      </x:c>
      <x:c r="C4" s="101" t="n">
        <x:v>586883.85</x:v>
      </x:c>
      <x:c r="D4" s="120" t="n">
        <x:f>C4/SUM($C$4:$C$8)</x:f>
        <x:v>0.12833817175067683</x:v>
      </x:c>
      <x:c r="E4" s="69"/>
      <x:c r="F4" s="82" t="str">
        <x:v>线上</x:v>
      </x:c>
      <x:c r="G4" s="83" t="n">
        <x:v>87199</x:v>
      </x:c>
      <x:c r="H4" s="101" t="n">
        <x:v>3864169.68</x:v>
      </x:c>
    </x:row>
    <x:row r="5">
      <x:c r="A5" s="85" t="str">
        <x:v>回购</x:v>
      </x:c>
      <x:c r="B5" s="86" t="n">
        <x:v>9626</x:v>
      </x:c>
      <x:c r="C5" s="104" t="n">
        <x:v>98066.6</x:v>
      </x:c>
      <x:c r="D5" s="121" t="n">
        <x:f>C5/SUM($C$4:$C$8)</x:f>
        <x:v>0.021444938642978376</x:v>
      </x:c>
      <x:c r="E5" s="69"/>
      <x:c r="F5" s="88" t="str">
        <x:v>线下</x:v>
      </x:c>
      <x:c r="G5" s="89" t="n">
        <x:v>24280</x:v>
      </x:c>
      <x:c r="H5" s="107" t="n">
        <x:v>708778.82</x:v>
      </x:c>
    </x:row>
    <x:row r="6">
      <x:c r="A6" s="85" t="str">
        <x:v>提前结清</x:v>
      </x:c>
      <x:c r="B6" s="86" t="n">
        <x:v>1738</x:v>
      </x:c>
      <x:c r="C6" s="104" t="n">
        <x:v>32324.45</x:v>
      </x:c>
      <x:c r="D6" s="121" t="n">
        <x:f>C6/SUM($C$4:$C$8)</x:f>
        <x:v>0.007068623230723023</x:v>
      </x:c>
      <x:c r="E6" s="69"/>
      <x:c r="F6" s="69"/>
      <x:c r="G6" s="69"/>
      <x:c r="H6" s="69"/>
    </x:row>
    <x:row r="7">
      <x:c r="A7" s="85" t="str">
        <x:v>正常还款</x:v>
      </x:c>
      <x:c r="B7" s="86" t="n">
        <x:v>86012</x:v>
      </x:c>
      <x:c r="C7" s="104" t="n">
        <x:v>3854279.77</x:v>
      </x:c>
      <x:c r="D7" s="121" t="n">
        <x:f>C7/SUM($C$4:$C$8)</x:f>
        <x:v>0.8428434674040174</x:v>
      </x:c>
      <x:c r="E7" s="69"/>
      <x:c r="F7" s="69"/>
      <x:c r="G7" s="69"/>
      <x:c r="H7" s="69"/>
    </x:row>
    <x:row r="8">
      <x:c r="A8" s="88" t="str">
        <x:v>退费</x:v>
      </x:c>
      <x:c r="B8" s="89" t="n">
        <x:v>91</x:v>
      </x:c>
      <x:c r="C8" s="107" t="n">
        <x:v>1393.83</x:v>
      </x:c>
      <x:c r="D8" s="122" t="n">
        <x:f>C8/SUM($C$4:$C$8)</x:f>
        <x:v>0.00030479897160442545</x:v>
      </x:c>
      <x:c r="E8" s="69"/>
      <x:c r="F8" s="69"/>
      <x:c r="G8" s="69"/>
      <x:c r="H8" s="69"/>
    </x:row>
    <x:row r="9">
      <x:c r="A9" s="69"/>
      <x:c r="B9" s="69"/>
      <x:c r="C9" s="69"/>
      <x:c r="D9" s="69"/>
      <x:c r="E9" s="69"/>
      <x:c r="F9" s="69"/>
      <x:c r="G9" s="69"/>
      <x:c r="H9" s="69"/>
    </x:row>
    <x:row r="10">
      <x:c r="A10" s="69"/>
      <x:c r="B10" s="69"/>
      <x:c r="C10" s="69"/>
      <x:c r="D10" s="69"/>
      <x:c r="E10" s="69"/>
      <x:c r="F10" s="69"/>
      <x:c r="G10" s="69"/>
      <x:c r="H10" s="69"/>
    </x:row>
    <x:row r="11">
      <x:c r="A11" s="69"/>
      <x:c r="B11" s="69"/>
      <x:c r="C11" s="69"/>
      <x:c r="D11" s="69"/>
      <x:c r="E11" s="69"/>
      <x:c r="F11" s="69"/>
      <x:c r="G11" s="69"/>
      <x:c r="H11" s="69"/>
    </x:row>
    <x:row r="12">
      <x:c r="A12" s="69"/>
      <x:c r="B12" s="69"/>
      <x:c r="C12" s="69"/>
      <x:c r="D12" s="69"/>
      <x:c r="E12" s="69"/>
      <x:c r="F12" s="69"/>
      <x:c r="G12" s="69"/>
      <x:c r="H12" s="69"/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82b5e24184a44815"/>
    <x:tablePart xmlns:r="http://schemas.openxmlformats.org/officeDocument/2006/relationships" r:id="R055553a098394c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29" hidden="0" customWidth="1"/>
    <x:col min="4" max="4" width="12" hidden="0" customWidth="1"/>
    <x:col min="5" max="5" width="15" hidden="0" customWidth="1"/>
    <x:col min="6" max="6" width="15" hidden="0" customWidth="1"/>
    <x:col min="7" max="7" width="17" hidden="0" customWidth="1"/>
    <x:col min="8" max="8" width="20" hidden="0" customWidth="1"/>
    <x:col min="9" max="9" width="15" hidden="0" customWidth="1"/>
    <x:col min="10" max="10" width="20" hidden="0" customWidth="1"/>
    <x:col min="11" max="11" width="18" hidden="0" customWidth="1"/>
  </x:cols>
  <x:sheetData>
    <x:row r="1" ht="32" customHeight="1">
      <x:c r="A1" s="67" t="str">
        <x:v>消费分期生产只读数据分段校验</x:v>
      </x:c>
      <x:c r="B1" s="67" t="str">
        <x:v>消费分期生产只读数据分段校验</x:v>
      </x:c>
      <x:c r="C1" s="67" t="str">
        <x:v>消费分期生产只读数据分段校验</x:v>
      </x:c>
      <x:c r="D1" s="67" t="str">
        <x:v>消费分期生产只读数据分段校验</x:v>
      </x:c>
      <x:c r="E1" s="67" t="str">
        <x:v>消费分期生产只读数据分段校验</x:v>
      </x:c>
      <x:c r="F1" s="67" t="str">
        <x:v>消费分期生产只读数据分段校验</x:v>
      </x:c>
      <x:c r="G1" s="67" t="str">
        <x:v>消费分期生产只读数据分段校验</x:v>
      </x:c>
      <x:c r="H1" s="67" t="str">
        <x:v>消费分期生产只读数据分段校验</x:v>
      </x:c>
      <x:c r="I1" s="67" t="str">
        <x:v>消费分期生产只读数据分段校验</x:v>
      </x:c>
      <x:c r="J1" s="67" t="str">
        <x:v>消费分期生产只读数据分段校验</x:v>
      </x:c>
      <x:c r="K1" s="67" t="str">
        <x:v>消费分期生产只读数据分段校验</x:v>
      </x:c>
    </x:row>
    <x:row r="2">
      <x:c r="A2" s="69"/>
      <x:c r="B2" s="69"/>
      <x:c r="C2" s="69"/>
      <x:c r="D2" s="69"/>
      <x:c r="E2" s="69"/>
      <x:c r="F2" s="69"/>
      <x:c r="G2" s="69"/>
      <x:c r="H2" s="69"/>
      <x:c r="I2" s="69"/>
      <x:c r="J2" s="69"/>
      <x:c r="K2" s="69"/>
    </x:row>
    <x:row r="3" ht="28" customHeight="1">
      <x:c r="A3" s="70" t="str">
        <x:v>分段</x:v>
      </x:c>
      <x:c r="B3" s="70" t="str">
        <x:v>首个资方账单键</x:v>
      </x:c>
      <x:c r="C3" s="70" t="str">
        <x:v>末个资方账单键</x:v>
      </x:c>
      <x:c r="D3" s="70" t="str">
        <x:v>嘉泰记录数</x:v>
      </x:c>
      <x:c r="E3" s="70" t="str">
        <x:v>消费分期P0003数</x:v>
      </x:c>
      <x:c r="F3" s="70" t="str">
        <x:v>零值无P0003数</x:v>
      </x:c>
      <x:c r="G3" s="70" t="str">
        <x:v>嘉泰服务费</x:v>
      </x:c>
      <x:c r="H3" s="70" t="str">
        <x:v>消费分期P0003金额</x:v>
      </x:c>
      <x:c r="I3" s="70" t="str">
        <x:v>账单差额</x:v>
      </x:c>
      <x:c r="J3" s="70" t="str">
        <x:v>消费分期paid_amount</x:v>
      </x:c>
      <x:c r="K3" s="70" t="str">
        <x:v>paid_amount缺口</x:v>
      </x:c>
    </x:row>
    <x:row r="4">
      <x:c r="A4" s="82" t="str">
        <x:v>0-5000</x:v>
      </x:c>
      <x:c r="B4" s="82" t="str">
        <x:v>JLZM025120114336041_6</x:v>
      </x:c>
      <x:c r="C4" s="82" t="str">
        <x:v>JLZM026022719540834_4</x:v>
      </x:c>
      <x:c r="D4" s="83" t="n">
        <x:v>5000</x:v>
      </x:c>
      <x:c r="E4" s="83" t="n">
        <x:v>4219</x:v>
      </x:c>
      <x:c r="F4" s="83" t="n">
        <x:v>781</x:v>
      </x:c>
      <x:c r="G4" s="101" t="n">
        <x:v>136717.87</x:v>
      </x:c>
      <x:c r="H4" s="101" t="n">
        <x:v>138200.04</x:v>
      </x:c>
      <x:c r="I4" s="101" t="n">
        <x:f>H4-G4</x:f>
        <x:v>1482.1700000000128</x:v>
      </x:c>
      <x:c r="J4" s="101" t="n">
        <x:v>112232.38</x:v>
      </x:c>
      <x:c r="K4" s="101" t="n">
        <x:f>G4-J4</x:f>
        <x:v>24485.48999999999</x:v>
      </x:c>
    </x:row>
    <x:row r="5">
      <x:c r="A5" s="85" t="str">
        <x:v>2-5000</x:v>
      </x:c>
      <x:c r="B5" s="85" t="str">
        <x:v>JLZM026031613218338_5</x:v>
      </x:c>
      <x:c r="C5" s="85" t="str">
        <x:v>JLZM026032014422142_3</x:v>
      </x:c>
      <x:c r="D5" s="86" t="n">
        <x:v>5000</x:v>
      </x:c>
      <x:c r="E5" s="86" t="n">
        <x:v>4253</x:v>
      </x:c>
      <x:c r="F5" s="86" t="n">
        <x:v>747</x:v>
      </x:c>
      <x:c r="G5" s="104" t="n">
        <x:v>146347.62</x:v>
      </x:c>
      <x:c r="H5" s="104" t="n">
        <x:v>146430.14</x:v>
      </x:c>
      <x:c r="I5" s="104" t="n">
        <x:f>H5-G5</x:f>
        <x:v>82.52000000001863</x:v>
      </x:c>
      <x:c r="J5" s="104" t="n">
        <x:v>120818.36</x:v>
      </x:c>
      <x:c r="K5" s="104" t="n">
        <x:f>G5-J5</x:f>
        <x:v>25529.259999999995</x:v>
      </x:c>
    </x:row>
    <x:row r="6">
      <x:c r="A6" s="85" t="str">
        <x:v>3-5000</x:v>
      </x:c>
      <x:c r="B6" s="85" t="str">
        <x:v>JLZM026032014422143_3</x:v>
      </x:c>
      <x:c r="C6" s="85" t="str">
        <x:v>JLZM026032312336698_3</x:v>
      </x:c>
      <x:c r="D6" s="86" t="n">
        <x:v>5000</x:v>
      </x:c>
      <x:c r="E6" s="86" t="n">
        <x:v>4325</x:v>
      </x:c>
      <x:c r="F6" s="86" t="n">
        <x:v>675</x:v>
      </x:c>
      <x:c r="G6" s="104" t="n">
        <x:v>167330.95</x:v>
      </x:c>
      <x:c r="H6" s="104" t="n">
        <x:v>167390</x:v>
      </x:c>
      <x:c r="I6" s="104" t="n">
        <x:f>H6-G6</x:f>
        <x:v>59.04999999998836</x:v>
      </x:c>
      <x:c r="J6" s="104" t="n">
        <x:v>137016.87</x:v>
      </x:c>
      <x:c r="K6" s="104" t="n">
        <x:f>G6-J6</x:f>
        <x:v>30314.080000000016</x:v>
      </x:c>
    </x:row>
    <x:row r="7">
      <x:c r="A7" s="85" t="str">
        <x:v>4-5000</x:v>
      </x:c>
      <x:c r="B7" s="85" t="str">
        <x:v>JLZM026032312336699_3</x:v>
      </x:c>
      <x:c r="C7" s="85" t="str">
        <x:v>JLZM026032414367063_4</x:v>
      </x:c>
      <x:c r="D7" s="86" t="n">
        <x:v>5000</x:v>
      </x:c>
      <x:c r="E7" s="86" t="n">
        <x:v>4319</x:v>
      </x:c>
      <x:c r="F7" s="86" t="n">
        <x:v>681</x:v>
      </x:c>
      <x:c r="G7" s="104" t="n">
        <x:v>193814.68</x:v>
      </x:c>
      <x:c r="H7" s="104" t="n">
        <x:v>193851.13</x:v>
      </x:c>
      <x:c r="I7" s="104" t="n">
        <x:f>H7-G7</x:f>
        <x:v>36.45000000001164</x:v>
      </x:c>
      <x:c r="J7" s="104" t="n">
        <x:v>163591.14</x:v>
      </x:c>
      <x:c r="K7" s="104" t="n">
        <x:f>G7-J7</x:f>
        <x:v>30223.53999999998</x:v>
      </x:c>
    </x:row>
    <x:row r="8">
      <x:c r="A8" s="85" t="str">
        <x:v>5-5000</x:v>
      </x:c>
      <x:c r="B8" s="85" t="str">
        <x:v>JLZM026032414367063_5</x:v>
      </x:c>
      <x:c r="C8" s="85" t="str">
        <x:v>JLZM026032615033872_6</x:v>
      </x:c>
      <x:c r="D8" s="86" t="n">
        <x:v>5000</x:v>
      </x:c>
      <x:c r="E8" s="86" t="n">
        <x:v>4312</x:v>
      </x:c>
      <x:c r="F8" s="86" t="n">
        <x:v>688</x:v>
      </x:c>
      <x:c r="G8" s="104" t="n">
        <x:v>185658.57</x:v>
      </x:c>
      <x:c r="H8" s="104" t="n">
        <x:v>185658.57</x:v>
      </x:c>
      <x:c r="I8" s="104" t="n">
        <x:f>H8-G8</x:f>
        <x:v>0</x:v>
      </x:c>
      <x:c r="J8" s="104" t="n">
        <x:v>154982.15</x:v>
      </x:c>
      <x:c r="K8" s="104" t="n">
        <x:f>G8-J8</x:f>
        <x:v>30676.420000000013</x:v>
      </x:c>
    </x:row>
    <x:row r="9">
      <x:c r="A9" s="85" t="str">
        <x:v>5-1000</x:v>
      </x:c>
      <x:c r="B9" s="85" t="str">
        <x:v>JLZM026022719540834_5</x:v>
      </x:c>
      <x:c r="C9" s="85" t="str">
        <x:v>JLZM026030217542623_4</x:v>
      </x:c>
      <x:c r="D9" s="86" t="n">
        <x:v>1000</x:v>
      </x:c>
      <x:c r="E9" s="86" t="n">
        <x:v>759</x:v>
      </x:c>
      <x:c r="F9" s="86" t="n">
        <x:v>241</x:v>
      </x:c>
      <x:c r="G9" s="104" t="n">
        <x:v>22023.43</x:v>
      </x:c>
      <x:c r="H9" s="104" t="n">
        <x:v>22269.8</x:v>
      </x:c>
      <x:c r="I9" s="104" t="n">
        <x:f>H9-G9</x:f>
        <x:v>246.36999999999898</x:v>
      </x:c>
      <x:c r="J9" s="104" t="n">
        <x:v>17956.11</x:v>
      </x:c>
      <x:c r="K9" s="104" t="n">
        <x:f>G9-J9</x:f>
        <x:v>4067.3199999999997</x:v>
      </x:c>
    </x:row>
    <x:row r="10">
      <x:c r="A10" s="85" t="str">
        <x:v>6-5000</x:v>
      </x:c>
      <x:c r="B10" s="85" t="str">
        <x:v>JLZM026032615033873_3</x:v>
      </x:c>
      <x:c r="C10" s="85" t="str">
        <x:v>JLZM026032916393107_3</x:v>
      </x:c>
      <x:c r="D10" s="86" t="n">
        <x:v>5000</x:v>
      </x:c>
      <x:c r="E10" s="86" t="n">
        <x:v>4338</x:v>
      </x:c>
      <x:c r="F10" s="86" t="n">
        <x:v>662</x:v>
      </x:c>
      <x:c r="G10" s="104" t="n">
        <x:v>168294.87</x:v>
      </x:c>
      <x:c r="H10" s="104" t="n">
        <x:v>168314.02</x:v>
      </x:c>
      <x:c r="I10" s="104" t="n">
        <x:f>H10-G10</x:f>
        <x:v>19.14999999999418</x:v>
      </x:c>
      <x:c r="J10" s="104" t="n">
        <x:v>138871.16</x:v>
      </x:c>
      <x:c r="K10" s="104" t="n">
        <x:f>G10-J10</x:f>
        <x:v>29423.709999999992</x:v>
      </x:c>
    </x:row>
    <x:row r="11">
      <x:c r="A11" s="85" t="str">
        <x:v>6-1000</x:v>
      </x:c>
      <x:c r="B11" s="85" t="str">
        <x:v>JLZM026030217542624_4</x:v>
      </x:c>
      <x:c r="C11" s="85" t="str">
        <x:v>JLZM026031013454484_3</x:v>
      </x:c>
      <x:c r="D11" s="86" t="n">
        <x:v>1000</x:v>
      </x:c>
      <x:c r="E11" s="86" t="n">
        <x:v>750</x:v>
      </x:c>
      <x:c r="F11" s="86" t="n">
        <x:v>250</x:v>
      </x:c>
      <x:c r="G11" s="104" t="n">
        <x:v>33043.69</x:v>
      </x:c>
      <x:c r="H11" s="104" t="n">
        <x:v>33162.33</x:v>
      </x:c>
      <x:c r="I11" s="104" t="n">
        <x:f>H11-G11</x:f>
        <x:v>118.63999999999942</x:v>
      </x:c>
      <x:c r="J11" s="104" t="n">
        <x:v>25652.17</x:v>
      </x:c>
      <x:c r="K11" s="104" t="n">
        <x:f>G11-J11</x:f>
        <x:v>7391.520000000004</x:v>
      </x:c>
    </x:row>
    <x:row r="12">
      <x:c r="A12" s="85" t="str">
        <x:v>7-5000</x:v>
      </x:c>
      <x:c r="B12" s="85" t="str">
        <x:v>JLZM026032916393109_3</x:v>
      </x:c>
      <x:c r="C12" s="85" t="str">
        <x:v>JLZM026040320333515_3</x:v>
      </x:c>
      <x:c r="D12" s="86" t="n">
        <x:v>5000</x:v>
      </x:c>
      <x:c r="E12" s="86" t="n">
        <x:v>4339</x:v>
      </x:c>
      <x:c r="F12" s="86" t="n">
        <x:v>661</x:v>
      </x:c>
      <x:c r="G12" s="104" t="n">
        <x:v>185127.31</x:v>
      </x:c>
      <x:c r="H12" s="104" t="n">
        <x:v>185180.99</x:v>
      </x:c>
      <x:c r="I12" s="104" t="n">
        <x:f>H12-G12</x:f>
        <x:v>53.679999999993015</x:v>
      </x:c>
      <x:c r="J12" s="104" t="n">
        <x:v>151976.97</x:v>
      </x:c>
      <x:c r="K12" s="104" t="n">
        <x:f>G12-J12</x:f>
        <x:v>33150.34</x:v>
      </x:c>
    </x:row>
    <x:row r="13">
      <x:c r="A13" s="85" t="str">
        <x:v>7-1000</x:v>
      </x:c>
      <x:c r="B13" s="85" t="str">
        <x:v>JLZM026031013519137_3</x:v>
      </x:c>
      <x:c r="C13" s="85" t="str">
        <x:v>JLZM026031117578892_3</x:v>
      </x:c>
      <x:c r="D13" s="86" t="n">
        <x:v>1000</x:v>
      </x:c>
      <x:c r="E13" s="86" t="n">
        <x:v>777</x:v>
      </x:c>
      <x:c r="F13" s="86" t="n">
        <x:v>223</x:v>
      </x:c>
      <x:c r="G13" s="104" t="n">
        <x:v>39046.67</x:v>
      </x:c>
      <x:c r="H13" s="104" t="n">
        <x:v>39324.94</x:v>
      </x:c>
      <x:c r="I13" s="104" t="n">
        <x:f>H13-G13</x:f>
        <x:v>278.2700000000041</x:v>
      </x:c>
      <x:c r="J13" s="104" t="n">
        <x:v>31692.11</x:v>
      </x:c>
      <x:c r="K13" s="104" t="n">
        <x:f>G13-J13</x:f>
        <x:v>7354.559999999998</x:v>
      </x:c>
    </x:row>
    <x:row r="14">
      <x:c r="A14" s="85" t="str">
        <x:v>8-5000</x:v>
      </x:c>
      <x:c r="B14" s="85" t="str">
        <x:v>JLZM026040320333516_3</x:v>
      </x:c>
      <x:c r="C14" s="85" t="str">
        <x:v>JLZM026040715068500_3</x:v>
      </x:c>
      <x:c r="D14" s="86" t="n">
        <x:v>5000</x:v>
      </x:c>
      <x:c r="E14" s="86" t="n">
        <x:v>4478</x:v>
      </x:c>
      <x:c r="F14" s="86" t="n">
        <x:v>522</x:v>
      </x:c>
      <x:c r="G14" s="104" t="n">
        <x:v>198465.69</x:v>
      </x:c>
      <x:c r="H14" s="104" t="n">
        <x:v>198478.42</x:v>
      </x:c>
      <x:c r="I14" s="104" t="n">
        <x:f>H14-G14</x:f>
        <x:v>12.730000000010477</x:v>
      </x:c>
      <x:c r="J14" s="104" t="n">
        <x:v>164305.55</x:v>
      </x:c>
      <x:c r="K14" s="104" t="n">
        <x:f>G14-J14</x:f>
        <x:v>34160.140000000014</x:v>
      </x:c>
    </x:row>
    <x:row r="15">
      <x:c r="A15" s="85" t="str">
        <x:v>8-1000</x:v>
      </x:c>
      <x:c r="B15" s="85" t="str">
        <x:v>JLZM026031117578893_3</x:v>
      </x:c>
      <x:c r="C15" s="85" t="str">
        <x:v>JLZM026031315217667_5</x:v>
      </x:c>
      <x:c r="D15" s="86" t="n">
        <x:v>1000</x:v>
      </x:c>
      <x:c r="E15" s="86" t="n">
        <x:v>774</x:v>
      </x:c>
      <x:c r="F15" s="86" t="n">
        <x:v>226</x:v>
      </x:c>
      <x:c r="G15" s="104" t="n">
        <x:v>33488.21</x:v>
      </x:c>
      <x:c r="H15" s="104" t="n">
        <x:v>33596.54</x:v>
      </x:c>
      <x:c r="I15" s="104" t="n">
        <x:f>H15-G15</x:f>
        <x:v>108.33000000000175</x:v>
      </x:c>
      <x:c r="J15" s="104" t="n">
        <x:v>26796.46</x:v>
      </x:c>
      <x:c r="K15" s="104" t="n">
        <x:f>G15-J15</x:f>
        <x:v>6691.75</x:v>
      </x:c>
    </x:row>
    <x:row r="16">
      <x:c r="A16" s="85" t="str">
        <x:v>9-5000</x:v>
      </x:c>
      <x:c r="B16" s="85" t="str">
        <x:v>JLZM026040715068501_3</x:v>
      </x:c>
      <x:c r="C16" s="85" t="str">
        <x:v>JLZM026041015096993_2</x:v>
      </x:c>
      <x:c r="D16" s="86" t="n">
        <x:v>5000</x:v>
      </x:c>
      <x:c r="E16" s="86" t="n">
        <x:v>4733</x:v>
      </x:c>
      <x:c r="F16" s="86" t="n">
        <x:v>267</x:v>
      </x:c>
      <x:c r="G16" s="104" t="n">
        <x:v>215828.9</x:v>
      </x:c>
      <x:c r="H16" s="104" t="n">
        <x:v>215840.65</x:v>
      </x:c>
      <x:c r="I16" s="104" t="n">
        <x:f>H16-G16</x:f>
        <x:v>11.75</x:v>
      </x:c>
      <x:c r="J16" s="104" t="n">
        <x:v>187008.68</x:v>
      </x:c>
      <x:c r="K16" s="104" t="n">
        <x:f>G16-J16</x:f>
        <x:v>28820.22</x:v>
      </x:c>
    </x:row>
    <x:row r="17">
      <x:c r="A17" s="85" t="str">
        <x:v>9-1000</x:v>
      </x:c>
      <x:c r="B17" s="85" t="str">
        <x:v>JLZM026031315217667_6</x:v>
      </x:c>
      <x:c r="C17" s="85" t="str">
        <x:v>JLZM026031613218338_4</x:v>
      </x:c>
      <x:c r="D17" s="86" t="n">
        <x:v>1000</x:v>
      </x:c>
      <x:c r="E17" s="86" t="n">
        <x:v>787</x:v>
      </x:c>
      <x:c r="F17" s="86" t="n">
        <x:v>213</x:v>
      </x:c>
      <x:c r="G17" s="104" t="n">
        <x:v>33112.66</x:v>
      </x:c>
      <x:c r="H17" s="104" t="n">
        <x:v>33153.74</x:v>
      </x:c>
      <x:c r="I17" s="104" t="n">
        <x:f>H17-G17</x:f>
        <x:v>41.07999999999447</x:v>
      </x:c>
      <x:c r="J17" s="104" t="n">
        <x:v>26536.66</x:v>
      </x:c>
      <x:c r="K17" s="104" t="n">
        <x:f>G17-J17</x:f>
        <x:v>6576.000000000004</x:v>
      </x:c>
    </x:row>
    <x:row r="18">
      <x:c r="A18" s="85" t="str">
        <x:v>10-5000</x:v>
      </x:c>
      <x:c r="B18" s="85" t="str">
        <x:v>JLZM026041015096994_2</x:v>
      </x:c>
      <x:c r="C18" s="85" t="str">
        <x:v>JLZM026041314061355_3</x:v>
      </x:c>
      <x:c r="D18" s="86" t="n">
        <x:v>5000</x:v>
      </x:c>
      <x:c r="E18" s="86" t="n">
        <x:v>4862</x:v>
      </x:c>
      <x:c r="F18" s="86" t="n">
        <x:v>138</x:v>
      </x:c>
      <x:c r="G18" s="104" t="n">
        <x:v>197450.76</x:v>
      </x:c>
      <x:c r="H18" s="104" t="n">
        <x:v>197456.86</x:v>
      </x:c>
      <x:c r="I18" s="104" t="n">
        <x:f>H18-G18</x:f>
        <x:v>6.099999999976717</x:v>
      </x:c>
      <x:c r="J18" s="104" t="n">
        <x:v>171009.15</x:v>
      </x:c>
      <x:c r="K18" s="104" t="n">
        <x:f>G18-J18</x:f>
        <x:v>26441.610000000015</x:v>
      </x:c>
    </x:row>
    <x:row r="19">
      <x:c r="A19" s="85" t="str">
        <x:v>11-5000</x:v>
      </x:c>
      <x:c r="B19" s="85" t="str">
        <x:v>JLZM026041314061356_2</x:v>
      </x:c>
      <x:c r="C19" s="85" t="str">
        <x:v>JLZM026041614092175_2</x:v>
      </x:c>
      <x:c r="D19" s="86" t="n">
        <x:v>5000</x:v>
      </x:c>
      <x:c r="E19" s="86" t="n">
        <x:v>4949</x:v>
      </x:c>
      <x:c r="F19" s="86" t="n">
        <x:v>51</x:v>
      </x:c>
      <x:c r="G19" s="104" t="n">
        <x:v>213417.55</x:v>
      </x:c>
      <x:c r="H19" s="104" t="n">
        <x:v>213417.55</x:v>
      </x:c>
      <x:c r="I19" s="104" t="n">
        <x:f>H19-G19</x:f>
        <x:v>0</x:v>
      </x:c>
      <x:c r="J19" s="104" t="n">
        <x:v>184000.9</x:v>
      </x:c>
      <x:c r="K19" s="104" t="n">
        <x:f>G19-J19</x:f>
        <x:v>29416.649999999994</x:v>
      </x:c>
    </x:row>
    <x:row r="20">
      <x:c r="A20" s="85" t="str">
        <x:v>12-5000</x:v>
      </x:c>
      <x:c r="B20" s="85" t="str">
        <x:v>JLZM026041614092176_2</x:v>
      </x:c>
      <x:c r="C20" s="85" t="str">
        <x:v>JLZM026041911541283_2</x:v>
      </x:c>
      <x:c r="D20" s="86" t="n">
        <x:v>5000</x:v>
      </x:c>
      <x:c r="E20" s="86" t="n">
        <x:v>5000</x:v>
      </x:c>
      <x:c r="F20" s="86" t="n">
        <x:v>0</x:v>
      </x:c>
      <x:c r="G20" s="104" t="n">
        <x:v>211477.67</x:v>
      </x:c>
      <x:c r="H20" s="104" t="n">
        <x:v>211477.67</x:v>
      </x:c>
      <x:c r="I20" s="104" t="n">
        <x:f>H20-G20</x:f>
        <x:v>0</x:v>
      </x:c>
      <x:c r="J20" s="104" t="n">
        <x:v>187065.54</x:v>
      </x:c>
      <x:c r="K20" s="104" t="n">
        <x:f>G20-J20</x:f>
        <x:v>24412.130000000005</x:v>
      </x:c>
    </x:row>
    <x:row r="21">
      <x:c r="A21" s="85" t="str">
        <x:v>13-5000</x:v>
      </x:c>
      <x:c r="B21" s="85" t="str">
        <x:v>JLZM026041911541284_2</x:v>
      </x:c>
      <x:c r="C21" s="85" t="str">
        <x:v>JLZM026042618212941_2</x:v>
      </x:c>
      <x:c r="D21" s="86" t="n">
        <x:v>5000</x:v>
      </x:c>
      <x:c r="E21" s="86" t="n">
        <x:v>5000</x:v>
      </x:c>
      <x:c r="F21" s="86" t="n">
        <x:v>0</x:v>
      </x:c>
      <x:c r="G21" s="104" t="n">
        <x:v>221140.55</x:v>
      </x:c>
      <x:c r="H21" s="104" t="n">
        <x:v>221140.55</x:v>
      </x:c>
      <x:c r="I21" s="104" t="n">
        <x:f>H21-G21</x:f>
        <x:v>0</x:v>
      </x:c>
      <x:c r="J21" s="104" t="n">
        <x:v>195444.74</x:v>
      </x:c>
      <x:c r="K21" s="104" t="n">
        <x:f>G21-J21</x:f>
        <x:v>25695.809999999998</x:v>
      </x:c>
    </x:row>
    <x:row r="22">
      <x:c r="A22" s="85" t="str">
        <x:v>15-5000</x:v>
      </x:c>
      <x:c r="B22" s="85" t="str">
        <x:v>JLZM026050510219158_2</x:v>
      </x:c>
      <x:c r="C22" s="85" t="str">
        <x:v>JLZM026050816579011_2</x:v>
      </x:c>
      <x:c r="D22" s="86" t="n">
        <x:v>5000</x:v>
      </x:c>
      <x:c r="E22" s="86" t="n">
        <x:v>5000</x:v>
      </x:c>
      <x:c r="F22" s="86" t="n">
        <x:v>0</x:v>
      </x:c>
      <x:c r="G22" s="104" t="n">
        <x:v>307085.71</x:v>
      </x:c>
      <x:c r="H22" s="104" t="n">
        <x:v>307085.71</x:v>
      </x:c>
      <x:c r="I22" s="104" t="n">
        <x:f>H22-G22</x:f>
        <x:v>0</x:v>
      </x:c>
      <x:c r="J22" s="104" t="n">
        <x:v>280571.78</x:v>
      </x:c>
      <x:c r="K22" s="104" t="n">
        <x:f>G22-J22</x:f>
        <x:v>26513.929999999993</x:v>
      </x:c>
    </x:row>
    <x:row r="23">
      <x:c r="A23" s="85" t="str">
        <x:v>16-5000</x:v>
      </x:c>
      <x:c r="B23" s="85" t="str">
        <x:v>JLZM026050816579012_2</x:v>
      </x:c>
      <x:c r="C23" s="85" t="str">
        <x:v>JLZM026051017455437_1</x:v>
      </x:c>
      <x:c r="D23" s="86" t="n">
        <x:v>5000</x:v>
      </x:c>
      <x:c r="E23" s="86" t="n">
        <x:v>5000</x:v>
      </x:c>
      <x:c r="F23" s="86" t="n">
        <x:v>0</x:v>
      </x:c>
      <x:c r="G23" s="104" t="n">
        <x:v>321976.63</x:v>
      </x:c>
      <x:c r="H23" s="104" t="n">
        <x:v>321976.63</x:v>
      </x:c>
      <x:c r="I23" s="104" t="n">
        <x:f>H23-G23</x:f>
        <x:v>0</x:v>
      </x:c>
      <x:c r="J23" s="104" t="n">
        <x:v>298597.58</x:v>
      </x:c>
      <x:c r="K23" s="104" t="n">
        <x:f>G23-J23</x:f>
        <x:v>23379.04999999999</x:v>
      </x:c>
    </x:row>
    <x:row r="24">
      <x:c r="A24" s="85" t="str">
        <x:v>17-5000</x:v>
      </x:c>
      <x:c r="B24" s="85" t="str">
        <x:v>JLZM026051017455438_2</x:v>
      </x:c>
      <x:c r="C24" s="85" t="str">
        <x:v>JLZM026051214399131_1</x:v>
      </x:c>
      <x:c r="D24" s="86" t="n">
        <x:v>5000</x:v>
      </x:c>
      <x:c r="E24" s="86" t="n">
        <x:v>5000</x:v>
      </x:c>
      <x:c r="F24" s="86" t="n">
        <x:v>0</x:v>
      </x:c>
      <x:c r="G24" s="104" t="n">
        <x:v>301197.61</x:v>
      </x:c>
      <x:c r="H24" s="104" t="n">
        <x:v>301197.61</x:v>
      </x:c>
      <x:c r="I24" s="104" t="n">
        <x:f>H24-G24</x:f>
        <x:v>0</x:v>
      </x:c>
      <x:c r="J24" s="104" t="n">
        <x:v>285511.15</x:v>
      </x:c>
      <x:c r="K24" s="104" t="n">
        <x:f>G24-J24</x:f>
        <x:v>15686.459999999963</x:v>
      </x:c>
    </x:row>
    <x:row r="25">
      <x:c r="A25" s="85" t="str">
        <x:v>18-5000</x:v>
      </x:c>
      <x:c r="B25" s="85" t="str">
        <x:v>JLZM026051214399132_1</x:v>
      </x:c>
      <x:c r="C25" s="85" t="str">
        <x:v>JLZM026051811543406_1</x:v>
      </x:c>
      <x:c r="D25" s="86" t="n">
        <x:v>5000</x:v>
      </x:c>
      <x:c r="E25" s="86" t="n">
        <x:v>5000</x:v>
      </x:c>
      <x:c r="F25" s="86" t="n">
        <x:v>0</x:v>
      </x:c>
      <x:c r="G25" s="104" t="n">
        <x:v>261279.48</x:v>
      </x:c>
      <x:c r="H25" s="104" t="n">
        <x:v>261279.48</x:v>
      </x:c>
      <x:c r="I25" s="104" t="n">
        <x:f>H25-G25</x:f>
        <x:v>0</x:v>
      </x:c>
      <x:c r="J25" s="104" t="n">
        <x:v>247394.76</x:v>
      </x:c>
      <x:c r="K25" s="104" t="n">
        <x:f>G25-J25</x:f>
        <x:v>13884.720000000001</x:v>
      </x:c>
    </x:row>
    <x:row r="26">
      <x:c r="A26" s="85" t="str">
        <x:v>19-5000</x:v>
      </x:c>
      <x:c r="B26" s="85" t="str">
        <x:v>JLZM026051811543407_1</x:v>
      </x:c>
      <x:c r="C26" s="85" t="str">
        <x:v>JLZM026053113216718_1</x:v>
      </x:c>
      <x:c r="D26" s="86" t="n">
        <x:v>5000</x:v>
      </x:c>
      <x:c r="E26" s="86" t="n">
        <x:v>5000</x:v>
      </x:c>
      <x:c r="F26" s="86" t="n">
        <x:v>0</x:v>
      </x:c>
      <x:c r="G26" s="104" t="n">
        <x:v>147760.55</x:v>
      </x:c>
      <x:c r="H26" s="104" t="n">
        <x:v>147760.55</x:v>
      </x:c>
      <x:c r="I26" s="104" t="n">
        <x:f>H26-G26</x:f>
        <x:v>0</x:v>
      </x:c>
      <x:c r="J26" s="104" t="n">
        <x:v>140378.35</x:v>
      </x:c>
      <x:c r="K26" s="104" t="n">
        <x:f>G26-J26</x:f>
        <x:v>7382.1999999999825</x:v>
      </x:c>
    </x:row>
    <x:row r="27">
      <x:c r="A27" s="85" t="str">
        <x:v>21-5000</x:v>
      </x:c>
      <x:c r="B27" s="85" t="str">
        <x:v>JLZM026060315451028_1</x:v>
      </x:c>
      <x:c r="C27" s="85" t="str">
        <x:v>JLZM026061014219140_1</x:v>
      </x:c>
      <x:c r="D27" s="86" t="n">
        <x:v>5000</x:v>
      </x:c>
      <x:c r="E27" s="86" t="n">
        <x:v>4995</x:v>
      </x:c>
      <x:c r="F27" s="86" t="n">
        <x:v>5</x:v>
      </x:c>
      <x:c r="G27" s="104" t="n">
        <x:v>171671.78</x:v>
      </x:c>
      <x:c r="H27" s="104" t="n">
        <x:v>171671.78</x:v>
      </x:c>
      <x:c r="I27" s="104" t="n">
        <x:f>H27-G27</x:f>
        <x:v>0</x:v>
      </x:c>
      <x:c r="J27" s="104" t="n">
        <x:v>167107.2</x:v>
      </x:c>
      <x:c r="K27" s="104" t="n">
        <x:f>G27-J27</x:f>
        <x:v>4564.579999999987</x:v>
      </x:c>
    </x:row>
    <x:row r="28">
      <x:c r="A28" s="85" t="str">
        <x:v>22-1479</x:v>
      </x:c>
      <x:c r="B28" s="85" t="str">
        <x:v>JLZM026061014219142_1</x:v>
      </x:c>
      <x:c r="C28" s="85" t="str">
        <x:v>JLZM026123111424733_6</x:v>
      </x:c>
      <x:c r="D28" s="86" t="n">
        <x:v>1479</x:v>
      </x:c>
      <x:c r="E28" s="86" t="n">
        <x:v>1479</x:v>
      </x:c>
      <x:c r="F28" s="86" t="n">
        <x:v>0</x:v>
      </x:c>
      <x:c r="G28" s="104" t="n">
        <x:v>38526.92</x:v>
      </x:c>
      <x:c r="H28" s="104" t="n">
        <x:v>38587.09</x:v>
      </x:c>
      <x:c r="I28" s="104" t="n">
        <x:f>H28-G28</x:f>
        <x:v>60.169999999998254</x:v>
      </x:c>
      <x:c r="J28" s="104" t="n">
        <x:v>37224.15</x:v>
      </x:c>
      <x:c r="K28" s="104" t="n">
        <x:f>G28-J28</x:f>
        <x:v>1302.7699999999968</x:v>
      </x:c>
    </x:row>
    <x:row r="29">
      <x:c r="A29" s="85" t="str">
        <x:v>70-1000</x:v>
      </x:c>
      <x:c r="B29" s="85" t="str">
        <x:v>JLZM026042618212942_2</x:v>
      </x:c>
      <x:c r="C29" s="85" t="str">
        <x:v>JLZM026050111099628_2</x:v>
      </x:c>
      <x:c r="D29" s="86" t="n">
        <x:v>1000</x:v>
      </x:c>
      <x:c r="E29" s="86" t="n">
        <x:v>1000</x:v>
      </x:c>
      <x:c r="F29" s="86" t="n">
        <x:v>0</x:v>
      </x:c>
      <x:c r="G29" s="104" t="n">
        <x:v>35057.07</x:v>
      </x:c>
      <x:c r="H29" s="104" t="n">
        <x:v>35057.07</x:v>
      </x:c>
      <x:c r="I29" s="104" t="n">
        <x:f>H29-G29</x:f>
        <x:v>0</x:v>
      </x:c>
      <x:c r="J29" s="104" t="n">
        <x:v>31646.73</x:v>
      </x:c>
      <x:c r="K29" s="104" t="n">
        <x:f>G29-J29</x:f>
        <x:v>3410.34</x:v>
      </x:c>
    </x:row>
    <x:row r="30">
      <x:c r="A30" s="85" t="str">
        <x:v>71-1000</x:v>
      </x:c>
      <x:c r="B30" s="85" t="str">
        <x:v>JLZM026050111099629_2</x:v>
      </x:c>
      <x:c r="C30" s="85" t="str">
        <x:v>JLZM026050210093138_2</x:v>
      </x:c>
      <x:c r="D30" s="86" t="n">
        <x:v>1000</x:v>
      </x:c>
      <x:c r="E30" s="86" t="n">
        <x:v>1000</x:v>
      </x:c>
      <x:c r="F30" s="86" t="n">
        <x:v>0</x:v>
      </x:c>
      <x:c r="G30" s="104" t="n">
        <x:v>57324.18</x:v>
      </x:c>
      <x:c r="H30" s="104" t="n">
        <x:v>57324.18</x:v>
      </x:c>
      <x:c r="I30" s="104" t="n">
        <x:f>H30-G30</x:f>
        <x:v>0</x:v>
      </x:c>
      <x:c r="J30" s="104" t="n">
        <x:v>52346.85</x:v>
      </x:c>
      <x:c r="K30" s="104" t="n">
        <x:f>G30-J30</x:f>
        <x:v>4977.330000000002</x:v>
      </x:c>
    </x:row>
    <x:row r="31">
      <x:c r="A31" s="85" t="str">
        <x:v>72-1000</x:v>
      </x:c>
      <x:c r="B31" s="85" t="str">
        <x:v>JLZM026050210093139_2</x:v>
      </x:c>
      <x:c r="C31" s="85" t="str">
        <x:v>JLZM026050311090653_2</x:v>
      </x:c>
      <x:c r="D31" s="86" t="n">
        <x:v>1000</x:v>
      </x:c>
      <x:c r="E31" s="86" t="n">
        <x:v>1000</x:v>
      </x:c>
      <x:c r="F31" s="86" t="n">
        <x:v>0</x:v>
      </x:c>
      <x:c r="G31" s="104" t="n">
        <x:v>53339.8</x:v>
      </x:c>
      <x:c r="H31" s="104" t="n">
        <x:v>53339.8</x:v>
      </x:c>
      <x:c r="I31" s="104" t="n">
        <x:f>H31-G31</x:f>
        <x:v>0</x:v>
      </x:c>
      <x:c r="J31" s="104" t="n">
        <x:v>47676.95</x:v>
      </x:c>
      <x:c r="K31" s="104" t="n">
        <x:f>G31-J31</x:f>
        <x:v>5662.850000000006</x:v>
      </x:c>
    </x:row>
    <x:row r="32">
      <x:c r="A32" s="85" t="str">
        <x:v>73-1000</x:v>
      </x:c>
      <x:c r="B32" s="85" t="str">
        <x:v>JLZM026050311090654_2</x:v>
      </x:c>
      <x:c r="C32" s="85" t="str">
        <x:v>JLZM026050411094668_1</x:v>
      </x:c>
      <x:c r="D32" s="86" t="n">
        <x:v>1000</x:v>
      </x:c>
      <x:c r="E32" s="86" t="n">
        <x:v>1000</x:v>
      </x:c>
      <x:c r="F32" s="86" t="n">
        <x:v>0</x:v>
      </x:c>
      <x:c r="G32" s="104" t="n">
        <x:v>51759.09</x:v>
      </x:c>
      <x:c r="H32" s="104" t="n">
        <x:v>51759.09</x:v>
      </x:c>
      <x:c r="I32" s="104" t="n">
        <x:f>H32-G32</x:f>
        <x:v>0</x:v>
      </x:c>
      <x:c r="J32" s="104" t="n">
        <x:v>47161.55</x:v>
      </x:c>
      <x:c r="K32" s="104" t="n">
        <x:f>G32-J32</x:f>
        <x:v>4597.539999999994</x:v>
      </x:c>
    </x:row>
    <x:row r="33">
      <x:c r="A33" s="85" t="str">
        <x:v>74-1000</x:v>
      </x:c>
      <x:c r="B33" s="85" t="str">
        <x:v>JLZM026050411094669_2</x:v>
      </x:c>
      <x:c r="C33" s="85" t="str">
        <x:v>JLZM026050510219157_2</x:v>
      </x:c>
      <x:c r="D33" s="86" t="n">
        <x:v>1000</x:v>
      </x:c>
      <x:c r="E33" s="86" t="n">
        <x:v>1000</x:v>
      </x:c>
      <x:c r="F33" s="86" t="n">
        <x:v>0</x:v>
      </x:c>
      <x:c r="G33" s="104" t="n">
        <x:v>49698.08</x:v>
      </x:c>
      <x:c r="H33" s="104" t="n">
        <x:v>49698.08</x:v>
      </x:c>
      <x:c r="I33" s="104" t="n">
        <x:f>H33-G33</x:f>
        <x:v>0</x:v>
      </x:c>
      <x:c r="J33" s="104" t="n">
        <x:v>44464.8</x:v>
      </x:c>
      <x:c r="K33" s="104" t="n">
        <x:f>G33-J33</x:f>
        <x:v>5233.279999999999</x:v>
      </x:c>
    </x:row>
    <x:row r="34">
      <x:c r="A34" s="85" t="str">
        <x:v>100-1000</x:v>
      </x:c>
      <x:c r="B34" s="85" t="str">
        <x:v>JLZM026053113216721_1</x:v>
      </x:c>
      <x:c r="C34" s="85" t="str">
        <x:v>JLZM026060112454310_1</x:v>
      </x:c>
      <x:c r="D34" s="86" t="n">
        <x:v>1000</x:v>
      </x:c>
      <x:c r="E34" s="86" t="n">
        <x:v>1000</x:v>
      </x:c>
      <x:c r="F34" s="86" t="n">
        <x:v>0</x:v>
      </x:c>
      <x:c r="G34" s="104" t="n">
        <x:v>29394.5</x:v>
      </x:c>
      <x:c r="H34" s="104" t="n">
        <x:v>29394.5</x:v>
      </x:c>
      <x:c r="I34" s="104" t="n">
        <x:f>H34-G34</x:f>
        <x:v>0</x:v>
      </x:c>
      <x:c r="J34" s="104" t="n">
        <x:v>28478.15</x:v>
      </x:c>
      <x:c r="K34" s="104" t="n">
        <x:f>G34-J34</x:f>
        <x:v>916.3499999999985</x:v>
      </x:c>
    </x:row>
    <x:row r="35">
      <x:c r="A35" s="85" t="str">
        <x:v>101-1000</x:v>
      </x:c>
      <x:c r="B35" s="85" t="str">
        <x:v>JLZM026060112454312_1</x:v>
      </x:c>
      <x:c r="C35" s="85" t="str">
        <x:v>JLZM026060117575891_1</x:v>
      </x:c>
      <x:c r="D35" s="86" t="n">
        <x:v>1000</x:v>
      </x:c>
      <x:c r="E35" s="86" t="n">
        <x:v>1000</x:v>
      </x:c>
      <x:c r="F35" s="86" t="n">
        <x:v>0</x:v>
      </x:c>
      <x:c r="G35" s="104" t="n">
        <x:v>35230.01</x:v>
      </x:c>
      <x:c r="H35" s="104" t="n">
        <x:v>35230.01</x:v>
      </x:c>
      <x:c r="I35" s="104" t="n">
        <x:f>H35-G35</x:f>
        <x:v>0</x:v>
      </x:c>
      <x:c r="J35" s="104" t="n">
        <x:v>33815.05</x:v>
      </x:c>
      <x:c r="K35" s="104" t="n">
        <x:f>G35-J35</x:f>
        <x:v>1414.9599999999991</x:v>
      </x:c>
    </x:row>
    <x:row r="36">
      <x:c r="A36" s="85" t="str">
        <x:v>102-1000</x:v>
      </x:c>
      <x:c r="B36" s="85" t="str">
        <x:v>JLZM026060117575892_1</x:v>
      </x:c>
      <x:c r="C36" s="85" t="str">
        <x:v>JLZM026060211095806_1</x:v>
      </x:c>
      <x:c r="D36" s="86" t="n">
        <x:v>1000</x:v>
      </x:c>
      <x:c r="E36" s="86" t="n">
        <x:v>1000</x:v>
      </x:c>
      <x:c r="F36" s="86" t="n">
        <x:v>0</x:v>
      </x:c>
      <x:c r="G36" s="104" t="n">
        <x:v>32771.87</x:v>
      </x:c>
      <x:c r="H36" s="104" t="n">
        <x:v>32771.87</x:v>
      </x:c>
      <x:c r="I36" s="104" t="n">
        <x:f>H36-G36</x:f>
        <x:v>0</x:v>
      </x:c>
      <x:c r="J36" s="104" t="n">
        <x:v>31293.71</x:v>
      </x:c>
      <x:c r="K36" s="104" t="n">
        <x:f>G36-J36</x:f>
        <x:v>1478.1600000000035</x:v>
      </x:c>
    </x:row>
    <x:row r="37">
      <x:c r="A37" s="85" t="str">
        <x:v>103-1000</x:v>
      </x:c>
      <x:c r="B37" s="85" t="str">
        <x:v>JLZM026060211095807_1</x:v>
      </x:c>
      <x:c r="C37" s="85" t="str">
        <x:v>JLZM026060218093217_1</x:v>
      </x:c>
      <x:c r="D37" s="86" t="n">
        <x:v>1000</x:v>
      </x:c>
      <x:c r="E37" s="86" t="n">
        <x:v>1000</x:v>
      </x:c>
      <x:c r="F37" s="86" t="n">
        <x:v>0</x:v>
      </x:c>
      <x:c r="G37" s="104" t="n">
        <x:v>37866.97</x:v>
      </x:c>
      <x:c r="H37" s="104" t="n">
        <x:v>37866.97</x:v>
      </x:c>
      <x:c r="I37" s="104" t="n">
        <x:f>H37-G37</x:f>
        <x:v>0</x:v>
      </x:c>
      <x:c r="J37" s="104" t="n">
        <x:v>35791.09</x:v>
      </x:c>
      <x:c r="K37" s="104" t="n">
        <x:f>G37-J37</x:f>
        <x:v>2075.8800000000047</x:v>
      </x:c>
    </x:row>
    <x:row r="38">
      <x:c r="A38" s="88" t="str">
        <x:v>104-1000</x:v>
      </x:c>
      <x:c r="B38" s="88" t="str">
        <x:v>JLZM026060218122865_1</x:v>
      </x:c>
      <x:c r="C38" s="88" t="str">
        <x:v>JLZM026060315451027_1</x:v>
      </x:c>
      <x:c r="D38" s="89" t="n">
        <x:v>1000</x:v>
      </x:c>
      <x:c r="E38" s="89" t="n">
        <x:v>1000</x:v>
      </x:c>
      <x:c r="F38" s="89" t="n">
        <x:v>0</x:v>
      </x:c>
      <x:c r="G38" s="107" t="n">
        <x:v>39220.6</x:v>
      </x:c>
      <x:c r="H38" s="107" t="n">
        <x:v>39220.6</x:v>
      </x:c>
      <x:c r="I38" s="107" t="n">
        <x:f>H38-G38</x:f>
        <x:v>0</x:v>
      </x:c>
      <x:c r="J38" s="107" t="n">
        <x:v>37629.86</x:v>
      </x:c>
      <x:c r="K38" s="107" t="n">
        <x:f>G38-J38</x:f>
        <x:v>1590.739999999998</x:v>
      </x:c>
    </x:row>
    <x:row r="39">
      <x:c r="A39" s="127" t="str">
        <x:v>合计</x:v>
      </x:c>
      <x:c r="B39" s="127"/>
      <x:c r="C39" s="127"/>
      <x:c r="D39" s="128" t="n">
        <x:f>SUM(D4:D38)</x:f>
        <x:v>111479</x:v>
      </x:c>
      <x:c r="E39" s="128" t="n">
        <x:f>SUM(E4:E38)</x:f>
        <x:v>104448</x:v>
      </x:c>
      <x:c r="F39" s="128" t="n">
        <x:f>SUM(F4:F38)</x:f>
        <x:v>7031</x:v>
      </x:c>
      <x:c r="G39" s="129" t="n">
        <x:f>SUM(G4:G38)</x:f>
        <x:v>4572948.499999997</x:v>
      </x:c>
      <x:c r="H39" s="129" t="n">
        <x:f>SUM(H4:H38)</x:f>
        <x:v>4575564.959999997</x:v>
      </x:c>
      <x:c r="I39" s="129" t="n">
        <x:f>SUM(I4:I38)</x:f>
        <x:v>2616.4600000000028</x:v>
      </x:c>
      <x:c r="J39" s="129" t="n">
        <x:f>SUM(J4:J38)</x:f>
        <x:v>4044046.8099999996</x:v>
      </x:c>
      <x:c r="K39" s="129" t="n">
        <x:f>SUM(K4:K38)</x:f>
        <x:v>528901.6899999998</x:v>
      </x:c>
    </x:row>
  </x:sheetData>
  <x:mergeCells>
    <x:mergeCell ref="A1:K1"/>
    <x:mergeCell ref="A39:C39"/>
  </x:mergeCells>
  <x:conditionalFormatting sqref="I4:I38">
    <x:cfRule type="cellIs" dxfId="2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9031c375b04f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6" hidden="0" customWidth="1"/>
    <x:col min="5" max="5" width="12" hidden="0" customWidth="1"/>
    <x:col min="6" max="6" width="12" hidden="0" customWidth="1"/>
    <x:col min="7" max="7" width="32" hidden="0" customWidth="1"/>
  </x:cols>
  <x:sheetData>
    <x:row r="1" ht="32" customHeight="1">
      <x:c r="A1" s="67" t="str">
        <x:v>对账检查与勾稽</x:v>
      </x:c>
      <x:c r="B1" s="67" t="str">
        <x:v>对账检查与勾稽</x:v>
      </x:c>
      <x:c r="C1" s="67" t="str">
        <x:v>对账检查与勾稽</x:v>
      </x:c>
      <x:c r="D1" s="67" t="str">
        <x:v>对账检查与勾稽</x:v>
      </x:c>
      <x:c r="E1" s="67" t="str">
        <x:v>对账检查与勾稽</x:v>
      </x:c>
      <x:c r="F1" s="67" t="str">
        <x:v>对账检查与勾稽</x:v>
      </x:c>
      <x:c r="G1" s="67" t="str">
        <x:v>对账检查与勾稽</x:v>
      </x:c>
    </x:row>
    <x:row r="2">
      <x:c r="A2" s="69"/>
      <x:c r="B2" s="69"/>
      <x:c r="C2" s="69"/>
      <x:c r="D2" s="69"/>
      <x:c r="E2" s="69"/>
      <x:c r="F2" s="69"/>
      <x:c r="G2" s="69"/>
    </x:row>
    <x:row r="3" ht="28" customHeight="1">
      <x:c r="A3" s="70" t="str">
        <x:v>检查项</x:v>
      </x:c>
      <x:c r="B3" s="70" t="str">
        <x:v>实际值</x:v>
      </x:c>
      <x:c r="C3" s="70" t="str">
        <x:v>期望值</x:v>
      </x:c>
      <x:c r="D3" s="70" t="str">
        <x:v>差异</x:v>
      </x:c>
      <x:c r="E3" s="70" t="str">
        <x:v>容差</x:v>
      </x:c>
      <x:c r="F3" s="70" t="str">
        <x:v>状态</x:v>
      </x:c>
      <x:c r="G3" s="70" t="str">
        <x:v>说明</x:v>
      </x:c>
    </x:row>
    <x:row r="4">
      <x:c r="A4" s="82" t="str">
        <x:v>源服务费记录数</x:v>
      </x:c>
      <x:c r="B4" s="83" t="n">
        <x:f>'分段校验'!D39</x:f>
        <x:v>111479</x:v>
      </x:c>
      <x:c r="C4" s="83" t="n">
        <x:v>111479</x:v>
      </x:c>
      <x:c r="D4" s="83" t="n">
        <x:f>ROUND(B4-C4,2)</x:f>
        <x:v>0</x:v>
      </x:c>
      <x:c r="E4" s="83" t="n">
        <x:v>0</x:v>
      </x:c>
      <x:c r="F4" s="82" t="str">
        <x:f>IF(ABS(D4)&lt;=E4,"OK","FAIL")</x:f>
        <x:v>OK</x:v>
      </x:c>
      <x:c r="G4" s="82" t="str">
        <x:v>正金额+零金额</x:v>
      </x:c>
    </x:row>
    <x:row r="5">
      <x:c r="A5" s="85" t="str">
        <x:v>源金额与日期汇总</x:v>
      </x:c>
      <x:c r="B5" s="104" t="n">
        <x:f>'日期汇总'!E2</x:f>
        <x:v>4572948.5</x:v>
      </x:c>
      <x:c r="C5" s="104" t="n">
        <x:v>4572948.5</x:v>
      </x:c>
      <x:c r="D5" s="104" t="n">
        <x:f>ROUND(B5-C5,2)</x:f>
        <x:v>0</x:v>
      </x:c>
      <x:c r="E5" s="104" t="n">
        <x:v>0.01</x:v>
      </x:c>
      <x:c r="F5" s="85" t="str">
        <x:f>IF(ABS(D5)&lt;=E5,"OK","FAIL")</x:f>
        <x:v>OK</x:v>
      </x:c>
      <x:c r="G5" s="85" t="str">
        <x:v>按实还日期汇总</x:v>
      </x:c>
    </x:row>
    <x:row r="6">
      <x:c r="A6" s="85" t="str">
        <x:v>账单总差与差异明细</x:v>
      </x:c>
      <x:c r="B6" s="104" t="n">
        <x:f>SUM('差异明细'!P2:P149)</x:f>
        <x:v>2616.459999999999</x:v>
      </x:c>
      <x:c r="C6" s="104" t="n">
        <x:v>2616.46</x:v>
      </x:c>
      <x:c r="D6" s="104" t="n">
        <x:f>ROUND(B6-C6,2)</x:f>
        <x:v>0</x:v>
      </x:c>
      <x:c r="E6" s="104" t="n">
        <x:v>0.01</x:v>
      </x:c>
      <x:c r="F6" s="85" t="str">
        <x:f>IF(ABS(D6)&lt;=E6,"OK","FAIL")</x:f>
        <x:v>OK</x:v>
      </x:c>
      <x:c r="G6" s="85" t="str">
        <x:v>148笔差异合计</x:v>
      </x:c>
    </x:row>
    <x:row r="7">
      <x:c r="A7" s="85" t="str">
        <x:v>差异笔数</x:v>
      </x:c>
      <x:c r="B7" s="86" t="n">
        <x:f>COUNTA('差异明细'!A2:A149)</x:f>
        <x:v>148</x:v>
      </x:c>
      <x:c r="C7" s="86" t="n">
        <x:v>148</x:v>
      </x:c>
      <x:c r="D7" s="86" t="n">
        <x:f>ROUND(B7-C7,2)</x:f>
        <x:v>0</x:v>
      </x:c>
      <x:c r="E7" s="86" t="n">
        <x:v>0</x:v>
      </x:c>
      <x:c r="F7" s="85" t="str">
        <x:f>IF(ABS(D7)&lt;=E7,"OK","FAIL")</x:f>
        <x:v>OK</x:v>
      </x:c>
      <x:c r="G7" s="85" t="str">
        <x:v>差异明细行数</x:v>
      </x:c>
    </x:row>
    <x:row r="8">
      <x:c r="A8" s="85" t="str">
        <x:v>正金额记录全部有P0003</x:v>
      </x:c>
      <x:c r="B8" s="86" t="n">
        <x:f>'分段校验'!E39-2</x:f>
        <x:v>104446</x:v>
      </x:c>
      <x:c r="C8" s="86" t="n">
        <x:v>104446</x:v>
      </x:c>
      <x:c r="D8" s="86" t="n">
        <x:f>ROUND(B8-C8,2)</x:f>
        <x:v>0</x:v>
      </x:c>
      <x:c r="E8" s="86" t="n">
        <x:v>0</x:v>
      </x:c>
      <x:c r="F8" s="85" t="str">
        <x:f>IF(ABS(D8)&lt;=E8,"OK","FAIL")</x:f>
        <x:v>OK</x:v>
      </x:c>
      <x:c r="G8" s="85" t="str">
        <x:v>P0003数扣除2笔零值科目</x:v>
      </x:c>
    </x:row>
    <x:row r="9">
      <x:c r="A9" s="88" t="str">
        <x:v>零值回购记录数</x:v>
      </x:c>
      <x:c r="B9" s="89" t="n">
        <x:v>7033</x:v>
      </x:c>
      <x:c r="C9" s="89" t="n">
        <x:v>7033</x:v>
      </x:c>
      <x:c r="D9" s="89" t="n">
        <x:f>ROUND(B9-C9,2)</x:f>
        <x:v>0</x:v>
      </x:c>
      <x:c r="E9" s="89" t="n">
        <x:v>0</x:v>
      </x:c>
      <x:c r="F9" s="88" t="str">
        <x:f>IF(ABS(D9)&lt;=E9,"OK","FAIL")</x:f>
        <x:v>OK</x:v>
      </x:c>
      <x:c r="G9" s="88" t="str">
        <x:v>不影响金额</x:v>
      </x:c>
    </x:row>
    <x:row r="10">
      <x:c r="A10" s="69"/>
      <x:c r="B10" s="69"/>
      <x:c r="C10" s="69"/>
      <x:c r="D10" s="69"/>
      <x:c r="E10" s="69"/>
      <x:c r="F10" s="69"/>
      <x:c r="G10" s="69"/>
    </x:row>
    <x:row r="11">
      <x:c r="A11" s="77" t="str">
        <x:v>MODEL STATUS</x:v>
      </x:c>
      <x:c r="B11" s="77"/>
      <x:c r="C11" s="133" t="str">
        <x:f>IF(COUNTIF(F4:F9,"FAIL")=0,"PASS","FAIL")</x:f>
        <x:v>PASS</x:v>
      </x:c>
      <x:c r="D11" s="133"/>
      <x:c r="E11" s="133"/>
      <x:c r="F11" s="133"/>
      <x:c r="G11" s="133"/>
    </x:row>
  </x:sheetData>
  <x:mergeCells>
    <x:mergeCell ref="A1:G1"/>
    <x:mergeCell ref="A11:B11"/>
    <x:mergeCell ref="C11:G11"/>
  </x:mergeCells>
  <x:conditionalFormatting sqref="F4:F9">
    <x:cfRule type="containsText" dxfId="3" priority="1" operator="containsText" text="OK"/>
    <x:cfRule type="containsText" dxfId="4" priority="2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7" hidden="0" customWidth="1"/>
    <x:col min="3" max="3" width="23" hidden="0" customWidth="1"/>
    <x:col min="4" max="4" width="19" hidden="0" customWidth="1"/>
    <x:col min="5" max="5" width="28" hidden="0" customWidth="1"/>
    <x:col min="6" max="6" width="52" hidden="0" customWidth="1"/>
  </x:cols>
  <x:sheetData>
    <x:row r="1" ht="32" customHeight="1">
      <x:c r="A1" s="67" t="str">
        <x:v>对账口径、资源与证据</x:v>
      </x:c>
      <x:c r="B1" s="67" t="str">
        <x:v>对账口径、资源与证据</x:v>
      </x:c>
      <x:c r="C1" s="67" t="str">
        <x:v>对账口径、资源与证据</x:v>
      </x:c>
      <x:c r="D1" s="67" t="str">
        <x:v>对账口径、资源与证据</x:v>
      </x:c>
      <x:c r="E1" s="67" t="str">
        <x:v>对账口径、资源与证据</x:v>
      </x:c>
      <x:c r="F1" s="67" t="str">
        <x:v>对账口径、资源与证据</x:v>
      </x:c>
    </x:row>
    <x:row r="2">
      <x:c r="A2" s="69"/>
      <x:c r="B2" s="69"/>
      <x:c r="C2" s="69"/>
      <x:c r="D2" s="69"/>
      <x:c r="E2" s="69"/>
      <x:c r="F2" s="69"/>
    </x:row>
    <x:row r="3" ht="28" customHeight="1">
      <x:c r="A3" s="70" t="str">
        <x:v>项目</x:v>
      </x:c>
      <x:c r="B3" s="70" t="str">
        <x:v>值</x:v>
      </x:c>
      <x:c r="C3" s="70" t="str">
        <x:v>期间/环境</x:v>
      </x:c>
      <x:c r="D3" s="70" t="str">
        <x:v>来源类型</x:v>
      </x:c>
      <x:c r="E3" s="70" t="str">
        <x:v>来源</x:v>
      </x:c>
      <x:c r="F3" s="70" t="str">
        <x:v>说明</x:v>
      </x:c>
    </x:row>
    <x:row r="4" ht="38" customHeight="1">
      <x:c r="A4" s="91" t="str">
        <x:v>源台账</x:v>
      </x:c>
      <x:c r="B4" s="91" t="str">
        <x:v>6月提单实际还款数据.xlsx</x:v>
      </x:c>
      <x:c r="C4" s="91" t="str">
        <x:v>2026-05-27 至 2026-06-30</x:v>
      </x:c>
      <x:c r="D4" s="91" t="str">
        <x:v>Excel</x:v>
      </x:c>
      <x:c r="E4" s="91" t="str">
        <x:v>嘉泰消费分期实际还款台账</x:v>
      </x:c>
      <x:c r="F4" s="91" t="str">
        <x:v>筛选：交易成功、还款类型=资方服务费；文件包含5月末数据。</x:v>
      </x:c>
    </x:row>
    <x:row r="5" ht="38" customHeight="1">
      <x:c r="A5" s="92" t="str">
        <x:v>自然月6月</x:v>
      </x:c>
      <x:c r="B5" s="92" t="str">
        <x:v>108,607笔 / 4,475,397.95元</x:v>
      </x:c>
      <x:c r="C5" s="92" t="str">
        <x:v>2026-06-01 至 2026-06-30</x:v>
      </x:c>
      <x:c r="D5" s="92" t="str">
        <x:v>Excel汇总</x:v>
      </x:c>
      <x:c r="E5" s="92" t="str">
        <x:v>源台账</x:v>
      </x:c>
      <x:c r="F5" s="92" t="str">
        <x:v>仅供自然月口径参考；本次对账按文件全部记录。</x:v>
      </x:c>
    </x:row>
    <x:row r="6" ht="38" customHeight="1">
      <x:c r="A6" s="92" t="str">
        <x:v>嘉泰业务线</x:v>
      </x:c>
      <x:c r="B6" s="92" t="str">
        <x:v>BL000003 / th-jiatai-amp</x:v>
      </x:c>
      <x:c r="C6" s="92" t="str">
        <x:v>prod / master</x:v>
      </x:c>
      <x:c r="D6" s="92" t="str">
        <x:v>WorkHub</x:v>
      </x:c>
      <x:c r="E6" s="92" t="str">
        <x:v>jiatai-amp-db-prod</x:v>
      </x:c>
      <x:c r="F6" s="92" t="str">
        <x:v>核心表：jiatai_amp_saps.repayment_plan_ledger、repayment_plan。</x:v>
      </x:c>
    </x:row>
    <x:row r="7" ht="38" customHeight="1">
      <x:c r="A7" s="92" t="str">
        <x:v>消费分期业务线</x:v>
      </x:c>
      <x:c r="B7" s="92" t="str">
        <x:v>BL000004 / asset-plateform</x:v>
      </x:c>
      <x:c r="C7" s="92" t="str">
        <x:v>prod / master</x:v>
      </x:c>
      <x:c r="D7" s="92" t="str">
        <x:v>WorkHub</x:v>
      </x:c>
      <x:c r="E7" s="92" t="str">
        <x:v>amp-db-prod</x:v>
      </x:c>
      <x:c r="F7" s="92" t="str">
        <x:v>核心表：amp_saps.repayment_plan、bill_fee_detail。</x:v>
      </x:c>
    </x:row>
    <x:row r="8" ht="38" customHeight="1">
      <x:c r="A8" s="92" t="str">
        <x:v>对账键</x:v>
      </x:c>
      <x:c r="B8" s="92" t="str">
        <x:v>嘉泰放款申请单号 + '_' + 期数</x:v>
      </x:c>
      <x:c r="C8" s="92" t="str">
        <x:v>文件范围</x:v>
      </x:c>
      <x:c r="D8" s="92" t="str">
        <x:v>代码+数据库</x:v>
      </x:c>
      <x:c r="E8" s="92" t="str">
        <x:v>repayment_plan.funder_bill_no</x:v>
      </x:c>
      <x:c r="F8" s="92" t="str">
        <x:v>嘉泰 repayment_plan.pid 同样采用“放款申请单号_期数”。</x:v>
      </x:c>
    </x:row>
    <x:row r="9" ht="38" customHeight="1">
      <x:c r="A9" s="92" t="str">
        <x:v>金额口径</x:v>
      </x:c>
      <x:c r="B9" s="92" t="str">
        <x:v>消费分期 P0003.total_amount</x:v>
      </x:c>
      <x:c r="C9" s="92" t="str">
        <x:v>文件范围</x:v>
      </x:c>
      <x:c r="D9" s="92" t="str">
        <x:v>生产只读数据库</x:v>
      </x:c>
      <x:c r="E9" s="92" t="str">
        <x:v>amp_saps.bill_fee_detail</x:v>
      </x:c>
      <x:c r="F9" s="92" t="str">
        <x:v>P0003=资方服务费；与嘉泰实还金额比较。</x:v>
      </x:c>
    </x:row>
    <x:row r="10" ht="38" customHeight="1">
      <x:c r="A10" s="92" t="str">
        <x:v>状态口径</x:v>
      </x:c>
      <x:c r="B10" s="92" t="str">
        <x:v>paid_amount单列</x:v>
      </x:c>
      <x:c r="C10" s="92" t="str">
        <x:v>文件范围</x:v>
      </x:c>
      <x:c r="D10" s="92" t="str">
        <x:v>生产只读数据库</x:v>
      </x:c>
      <x:c r="E10" s="92" t="str">
        <x:v>amp_saps.bill_fee_detail.paid_amount</x:v>
      </x:c>
      <x:c r="F10" s="92" t="str">
        <x:v>代偿、回购等链路可能不更新为普通客户支付口径，不直接判错账。</x:v>
      </x:c>
    </x:row>
    <x:row r="11" ht="38" customHeight="1">
      <x:c r="A11" s="92" t="str">
        <x:v>嘉泰代码证据</x:v>
      </x:c>
      <x:c r="B11" s="92" t="str">
        <x:v>8975bbe20a1c697e770e80dc9440b61673fa8611</x:v>
      </x:c>
      <x:c r="C11" s="92" t="str">
        <x:v>master</x:v>
      </x:c>
      <x:c r="D11" s="92" t="str">
        <x:v>GitLab受控缓存</x:v>
      </x:c>
      <x:c r="E11" s="92" t="str">
        <x:v>jiatai-amp-saps</x:v>
      </x:c>
      <x:c r="F11" s="92" t="str">
        <x:v>字段与台账生成逻辑。</x:v>
      </x:c>
    </x:row>
    <x:row r="12" ht="38" customHeight="1">
      <x:c r="A12" s="92" t="str">
        <x:v>消费分期代码证据</x:v>
      </x:c>
      <x:c r="B12" s="92" t="str">
        <x:v>83728b713991b7b7ff6b01bc6dca3ccde73c7fdb</x:v>
      </x:c>
      <x:c r="C12" s="92" t="str">
        <x:v>master</x:v>
      </x:c>
      <x:c r="D12" s="92" t="str">
        <x:v>GitLab受控缓存</x:v>
      </x:c>
      <x:c r="E12" s="92" t="str">
        <x:v>amp-saps</x:v>
      </x:c>
      <x:c r="F12" s="92" t="str">
        <x:v>P0003科目、资方账单同步与结算逻辑。</x:v>
      </x:c>
    </x:row>
    <x:row r="13" ht="38" customHeight="1">
      <x:c r="A13" s="93" t="str">
        <x:v>数据安全</x:v>
      </x:c>
      <x:c r="B13" s="93" t="str">
        <x:v>只读、已脱敏</x:v>
      </x:c>
      <x:c r="C13" s="93" t="str">
        <x:v>prod</x:v>
      </x:c>
      <x:c r="D13" s="93" t="str">
        <x:v>WorkHub MCP</x:v>
      </x:c>
      <x:c r="E13" s="93" t="str">
        <x:v>run_readonly_query / readonly</x:v>
      </x:c>
      <x:c r="F13" s="93" t="str">
        <x:v>未执行写库、修数、接口调用或服务变更。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b6476a9b1d14649"/>
  </x:tableParts>
</x:worksheet>
</file>