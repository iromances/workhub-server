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9878cd00340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bcd84cbc300e44a9"/>
    <x:sheet xmlns:r="http://schemas.openxmlformats.org/officeDocument/2006/relationships" name="项目总览" sheetId="2" r:id="R09d7afbaffa84b01"/>
    <x:sheet xmlns:r="http://schemas.openxmlformats.org/officeDocument/2006/relationships" name="产品要素" sheetId="3" r:id="R9c6c73ab6fa0400a"/>
    <x:sheet xmlns:r="http://schemas.openxmlformats.org/officeDocument/2006/relationships" name="跨业务线映射" sheetId="4" r:id="R060bb73955cc43ac"/>
    <x:sheet xmlns:r="http://schemas.openxmlformats.org/officeDocument/2006/relationships" name="合同附件" sheetId="5" r:id="Rdf1aeb6a9f564801"/>
    <x:sheet xmlns:r="http://schemas.openxmlformats.org/officeDocument/2006/relationships" name="数据口径" sheetId="6" r:id="R5eeb3b2cde35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 hh:mm"/>
    <x:numFmt numFmtId="202" formatCode="#,##0"/>
    <x:numFmt numFmtId="203" formatCode="0.0%"/>
    <x:numFmt numFmtId="204" formatCode="&quot;¥&quot;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C00000"/>
      <x:name val="Carlito"/>
    </x:font>
    <x:font>
      <x:sz val="11"/>
      <x:color rgb="FFC00000"/>
      <x:name val="Carlito"/>
    </x:font>
    <x:font>
      <x:sz val="11"/>
      <x:color rgb="FF1F4E7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FFF00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5B9BD5"/>
      </x:left>
      <x:right style="medium">
        <x:color rgb="FF5B9BD5"/>
      </x:right>
      <x:top style="medium">
        <x:color rgb="FF5B9BD5"/>
      </x:top>
      <x:bottom style="medium">
        <x:color rgb="FF5B9BD5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 vertical="center"/>
    </x:xf>
    <x:xf numFmtId="200" fontId="2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0" fillId="8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FF2CC"/>
        </x:patternFill>
      </x:fill>
    </x:dxf>
    <x:dxf>
      <x:fill>
        <x:patternFill patternType="solid">
          <x:bgColor rgb="FFF2F8FC"/>
        </x:patternFill>
      </x:fill>
    </x:dxf>
    <x:dxf>
      <x:font>
        <x:b/>
        <x:color rgb="FFC00000"/>
      </x:font>
      <x:fill>
        <x:patternFill patternType="solid">
          <x:bgColor rgb="FFFFFF00"/>
        </x:patternFill>
      </x:fill>
    </x:dxf>
    <x:dxf>
      <x:fill>
        <x:patternFill patternType="solid">
          <x:bgColor rgb="FFF2F8FC"/>
        </x:patternFill>
      </x:fill>
    </x:dxf>
    <x:dxf>
      <x:font>
        <x:color rgb="FFC00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e4d827a0c4480" /><Relationship Type="http://schemas.openxmlformats.org/officeDocument/2006/relationships/theme" Target="/xl/theme/theme1.xml" Id="R8ac2ffdf8f074849" /><Relationship Type="http://schemas.openxmlformats.org/officeDocument/2006/relationships/sharedStrings" Target="/xl/sharedStrings.xml" Id="Ra096ec2ebce744b7" /><Relationship Type="http://schemas.openxmlformats.org/officeDocument/2006/relationships/worksheet" Target="/xl/worksheets/sheet1.xml" Id="Rbcd84cbc300e44a9" /><Relationship Type="http://schemas.openxmlformats.org/officeDocument/2006/relationships/worksheet" Target="/xl/worksheets/sheet2.xml" Id="R09d7afbaffa84b01" /><Relationship Type="http://schemas.openxmlformats.org/officeDocument/2006/relationships/worksheet" Target="/xl/worksheets/sheet3.xml" Id="R9c6c73ab6fa0400a" /><Relationship Type="http://schemas.openxmlformats.org/officeDocument/2006/relationships/worksheet" Target="/xl/worksheets/sheet4.xml" Id="R060bb73955cc43ac" /><Relationship Type="http://schemas.openxmlformats.org/officeDocument/2006/relationships/worksheet" Target="/xl/worksheets/sheet5.xml" Id="Rdf1aeb6a9f564801" /><Relationship Type="http://schemas.openxmlformats.org/officeDocument/2006/relationships/worksheet" Target="/xl/worksheets/sheet6.xml" Id="R5eeb3b2cde3545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</x:cols>
  <x:sheetData>
    <x:row r="1" ht="30" customHeight="1">
      <x:c r="A1" s="3" t="str">
        <x:v>消费分期与嘉泰消费分期｜生产项目整理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环境：生产（PROD）｜分支：master｜数据截止：2026-07-30｜口径：生产项目状态=1（生效）且未删除</x:v>
      </x:c>
      <x:c r="B2" s="6"/>
      <x:c r="C2" s="6"/>
      <x:c r="D2" s="6"/>
      <x:c r="E2" s="6"/>
      <x:c r="F2" s="6"/>
      <x:c r="G2" s="6"/>
      <x:c r="H2" s="6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11" t="str">
        <x:v>生效项目</x:v>
      </x:c>
      <x:c r="B4" s="11"/>
      <x:c r="C4" s="11" t="str">
        <x:v>近90日有进件项目</x:v>
      </x:c>
      <x:c r="D4" s="11"/>
      <x:c r="E4" s="11" t="str">
        <x:v>生效产品</x:v>
      </x:c>
      <x:c r="F4" s="11"/>
      <x:c r="G4" s="11" t="str">
        <x:v>跨线产品映射</x:v>
      </x:c>
      <x:c r="H4" s="11"/>
    </x:row>
    <x:row r="5">
      <x:c r="A5" s="17" t="n">
        <x:f>COUNTA('项目总览'!$C$5:$C$11)</x:f>
        <x:v>7</x:v>
      </x:c>
      <x:c r="B5" s="17"/>
      <x:c r="C5" s="17" t="n">
        <x:f>COUNTIF('项目总览'!$I$5:$I$11,"&gt;0")</x:f>
        <x:v>6</x:v>
      </x:c>
      <x:c r="D5" s="17"/>
      <x:c r="E5" s="17" t="n">
        <x:f>COUNTA('产品要素'!$D$5:$D$16)</x:f>
        <x:v>12</x:v>
      </x:c>
      <x:c r="F5" s="17"/>
      <x:c r="G5" s="17" t="n">
        <x:f>COUNTA('跨业务线映射'!$B$5:$B$8)</x:f>
        <x:v>4</x:v>
      </x:c>
      <x:c r="H5" s="17"/>
    </x:row>
    <x:row r="6">
      <x:c r="A6" s="17"/>
      <x:c r="B6" s="17"/>
      <x:c r="C6" s="17"/>
      <x:c r="D6" s="17"/>
      <x:c r="E6" s="17"/>
      <x:c r="F6" s="17"/>
      <x:c r="G6" s="17"/>
      <x:c r="H6" s="17"/>
    </x:row>
    <x:row r="7">
      <x:c r="A7" s="42"/>
      <x:c r="B7" s="42"/>
      <x:c r="C7" s="42"/>
      <x:c r="D7" s="42"/>
      <x:c r="E7" s="42"/>
      <x:c r="F7" s="42"/>
      <x:c r="G7" s="42"/>
      <x:c r="H7" s="42"/>
    </x:row>
    <x:row r="8">
      <x:c r="A8" s="6" t="str">
        <x:v>业务线汇总</x:v>
      </x:c>
      <x:c r="B8" s="6"/>
      <x:c r="C8" s="6"/>
      <x:c r="D8" s="6"/>
      <x:c r="E8" s="6"/>
      <x:c r="F8" s="6"/>
      <x:c r="G8" s="6"/>
      <x:c r="H8" s="6"/>
    </x:row>
    <x:row r="9">
      <x:c r="A9" s="23" t="str">
        <x:v>业务线</x:v>
      </x:c>
      <x:c r="B9" s="23" t="str">
        <x:v>业务线编码</x:v>
      </x:c>
      <x:c r="C9" s="23" t="str">
        <x:v>GitLab组</x:v>
      </x:c>
      <x:c r="D9" s="23" t="str">
        <x:v>生效项目</x:v>
      </x:c>
      <x:c r="E9" s="23" t="str">
        <x:v>生效产品</x:v>
      </x:c>
      <x:c r="F9" s="23" t="str">
        <x:v>近90日有进件项目</x:v>
      </x:c>
      <x:c r="G9" s="23" t="str">
        <x:v>最近进件时间</x:v>
      </x:c>
      <x:c r="H9" s="23" t="str">
        <x:v>说明</x:v>
      </x:c>
    </x:row>
    <x:row r="10">
      <x:c r="A10" s="26" t="str">
        <x:v>消费分期</x:v>
      </x:c>
      <x:c r="B10" s="26" t="str">
        <x:v>BL000004</x:v>
      </x:c>
      <x:c r="C10" s="26" t="str">
        <x:v>asset-plateform</x:v>
      </x:c>
      <x:c r="D10" s="26" t="n">
        <x:f>COUNTIF('项目总览'!$B$5:$B$11,"消费分期")</x:f>
        <x:v>2</x:v>
      </x:c>
      <x:c r="E10" s="26" t="n">
        <x:f>COUNTIF('产品要素'!$B$5:$B$16,"消费分期")</x:f>
        <x:v>4</x:v>
      </x:c>
      <x:c r="F10" s="26" t="n">
        <x:f>COUNTIFS('项目总览'!$B$5:$B$11,"消费分期",'项目总览'!$I$5:$I$11,"&gt;0")</x:f>
        <x:v>2</x:v>
      </x:c>
      <x:c r="G10" s="27" t="n">
        <x:v>46233.52143518518</x:v>
      </x:c>
      <x:c r="H10" s="26" t="str">
        <x:v>2个项目均通过再保理映射至嘉泰资方侧</x:v>
      </x:c>
    </x:row>
    <x:row r="11">
      <x:c r="A11" s="26" t="str">
        <x:v>嘉泰消费分期</x:v>
      </x:c>
      <x:c r="B11" s="26" t="str">
        <x:v>BL000003</x:v>
      </x:c>
      <x:c r="C11" s="26" t="str">
        <x:v>th-jiatai-amp</x:v>
      </x:c>
      <x:c r="D11" s="26" t="n">
        <x:f>COUNTIF('项目总览'!$B$5:$B$11,"嘉泰消费分期")</x:f>
        <x:v>5</x:v>
      </x:c>
      <x:c r="E11" s="26" t="n">
        <x:f>COUNTIF('产品要素'!$B$5:$B$16,"嘉泰消费分期")</x:f>
        <x:v>8</x:v>
      </x:c>
      <x:c r="F11" s="26" t="n">
        <x:f>COUNTIFS('项目总览'!$B$5:$B$11,"嘉泰消费分期",'项目总览'!$I$5:$I$11,"&gt;0")</x:f>
        <x:v>4</x:v>
      </x:c>
      <x:c r="G11" s="27" t="n">
        <x:v>46233.522210648145</x:v>
      </x:c>
      <x:c r="H11" s="26" t="str">
        <x:v>中公教育配置生效但近90日无进件；即科医美近30日无进件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</x:row>
    <x:row r="13">
      <x:c r="A13" s="43" t="str">
        <x:v>重点提示</x:v>
      </x:c>
      <x:c r="B13" s="43"/>
      <x:c r="C13" s="43"/>
      <x:c r="D13" s="43"/>
      <x:c r="E13" s="43"/>
      <x:c r="F13" s="43"/>
      <x:c r="G13" s="43"/>
      <x:c r="H13" s="43"/>
    </x:row>
    <x:row r="14">
      <x:c r="A14" s="34" t="str">
        <x:v>1. 中公教育项目生产状态仍为生效，但近90日无新进件；本表保留并标记为“存量/待确认”，不直接判定已停跑。</x:v>
      </x:c>
      <x:c r="B14" s="34"/>
      <x:c r="C14" s="34"/>
      <x:c r="D14" s="34"/>
      <x:c r="E14" s="34"/>
      <x:c r="F14" s="34"/>
      <x:c r="G14" s="34"/>
      <x:c r="H14" s="34"/>
    </x:row>
    <x:row r="15">
      <x:c r="A15" s="34" t="str">
        <x:v>2. 即科医美最近进件为2026-06-15：近30日为0、近90日仍有3,659笔。</x:v>
      </x:c>
      <x:c r="B15" s="34"/>
      <x:c r="C15" s="34"/>
      <x:c r="D15" s="34"/>
      <x:c r="E15" s="34"/>
      <x:c r="F15" s="34"/>
      <x:c r="G15" s="34"/>
      <x:c r="H15" s="34"/>
    </x:row>
    <x:row r="16">
      <x:c r="A16" s="34" t="str">
        <x:v>3. 产品费率为生产配置值；实际订单金额、费率和还款计划仍以进件时校验与订单实例为准。</x:v>
      </x:c>
      <x:c r="B16" s="34"/>
      <x:c r="C16" s="34"/>
      <x:c r="D16" s="34"/>
      <x:c r="E16" s="34"/>
      <x:c r="F16" s="34"/>
      <x:c r="G16" s="34"/>
      <x:c r="H16" s="34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2" hidden="0" customWidth="1"/>
    <x:col min="4" max="4" width="30" hidden="0" customWidth="1"/>
    <x:col min="5" max="5" width="10" hidden="0" customWidth="1"/>
    <x:col min="6" max="6" width="22" hidden="0" customWidth="1"/>
    <x:col min="7" max="7" width="14" hidden="0" customWidth="1"/>
    <x:col min="8" max="8" width="20" hidden="0" customWidth="1"/>
    <x:col min="9" max="9" width="14" hidden="0" customWidth="1"/>
    <x:col min="10" max="10" width="14" hidden="0" customWidth="1"/>
    <x:col min="11" max="11" width="28" hidden="0" customWidth="1"/>
    <x:col min="12" max="12" width="28" hidden="0" customWidth="1"/>
    <x:col min="13" max="13" width="30" hidden="0" customWidth="1"/>
    <x:col min="14" max="14" width="30" hidden="0" customWidth="1"/>
    <x:col min="15" max="15" width="12" hidden="0" customWidth="1"/>
    <x:col min="16" max="16" width="16" hidden="0" customWidth="1"/>
    <x:col min="17" max="17" width="26" hidden="0" customWidth="1"/>
    <x:col min="18" max="18" width="54" hidden="0" customWidth="1"/>
  </x:cols>
  <x:sheetData>
    <x:row r="1" ht="30" customHeight="1">
      <x:c r="A1" s="3" t="str">
        <x:v>生产生效项目总览（status=1）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44" t="str">
        <x:v>运行判断结合生产配置与近期进件证据；近90日无进件不等于已停止贷后运行。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</x:row>
    <x:row r="4">
      <x:c r="A4" s="23" t="str">
        <x:v>序号</x:v>
      </x:c>
      <x:c r="B4" s="23" t="str">
        <x:v>业务线</x:v>
      </x:c>
      <x:c r="C4" s="23" t="str">
        <x:v>项目编号</x:v>
      </x:c>
      <x:c r="D4" s="23" t="str">
        <x:v>项目名称</x:v>
      </x:c>
      <x:c r="E4" s="23" t="str">
        <x:v>生产状态</x:v>
      </x:c>
      <x:c r="F4" s="23" t="str">
        <x:v>运行判断</x:v>
      </x:c>
      <x:c r="G4" s="23" t="str">
        <x:v>生效日期</x:v>
      </x:c>
      <x:c r="H4" s="23" t="str">
        <x:v>最近进件时间</x:v>
      </x:c>
      <x:c r="I4" s="23" t="str">
        <x:v>近90日进件</x:v>
      </x:c>
      <x:c r="J4" s="23" t="str">
        <x:v>历史进件</x:v>
      </x:c>
      <x:c r="K4" s="23" t="str">
        <x:v>合作方</x:v>
      </x:c>
      <x:c r="L4" s="23" t="str">
        <x:v>融担公司</x:v>
      </x:c>
      <x:c r="M4" s="23" t="str">
        <x:v>资金方</x:v>
      </x:c>
      <x:c r="N4" s="23" t="str">
        <x:v>技术服务方</x:v>
      </x:c>
      <x:c r="O4" s="23" t="str">
        <x:v>保证金比例</x:v>
      </x:c>
      <x:c r="P4" s="23" t="str">
        <x:v>项目总授信</x:v>
      </x:c>
      <x:c r="Q4" s="23" t="str">
        <x:v>单笔限额</x:v>
      </x:c>
      <x:c r="R4" s="23" t="str">
        <x:v>贷后关键配置/备注</x:v>
      </x:c>
    </x:row>
    <x:row r="5">
      <x:c r="A5" s="26" t="n">
        <x:v>1</x:v>
      </x:c>
      <x:c r="B5" s="26" t="str">
        <x:v>消费分期</x:v>
      </x:c>
      <x:c r="C5" s="26" t="str">
        <x:v>TH-PRJ-LYX-A</x:v>
      </x:c>
      <x:c r="D5" s="26" t="str">
        <x:v>沃橙商品分期通汇嘉泰保理</x:v>
      </x:c>
      <x:c r="E5" s="26" t="str">
        <x:v>生效</x:v>
      </x:c>
      <x:c r="F5" s="26" t="str">
        <x:v>持续进件</x:v>
      </x:c>
      <x:c r="G5" s="27" t="n">
        <x:v>45848</x:v>
      </x:c>
      <x:c r="H5" s="27" t="n">
        <x:v>46233.52143518518</x:v>
      </x:c>
      <x:c r="I5" s="35" t="n">
        <x:v>71488</x:v>
      </x:c>
      <x:c r="J5" s="35" t="n">
        <x:v>204323</x:v>
      </x:c>
      <x:c r="K5" s="26" t="str">
        <x:v>厦门沃橙商贸有限公司</x:v>
      </x:c>
      <x:c r="L5" s="26" t="str">
        <x:v>生产项目表未配置</x:v>
      </x:c>
      <x:c r="M5" s="26" t="str">
        <x:v>上海通汇嘉泰商业保理有限公司</x:v>
      </x:c>
      <x:c r="N5" s="26" t="str">
        <x:v>通汇诚泰信息科技（上海）有限公司</x:v>
      </x:c>
      <x:c r="O5" s="36" t="n">
        <x:v>0.08</x:v>
      </x:c>
      <x:c r="P5" s="37" t="n">
        <x:v>188750000</x:v>
      </x:c>
      <x:c r="Q5" s="26" t="str">
        <x:v>下限 500 元；上限 50,000 元</x:v>
      </x:c>
      <x:c r="R5" s="26" t="str">
        <x:v>强制回购开关关闭；buyBackRule=0|3-5；grace_day=dd+0；逾期日费率配置0.066667%；再保理至嘉泰 JT_XXT-PRJ-LYX-A</x:v>
      </x:c>
    </x:row>
    <x:row r="6">
      <x:c r="A6" s="26" t="n">
        <x:v>2</x:v>
      </x:c>
      <x:c r="B6" s="26" t="str">
        <x:v>消费分期</x:v>
      </x:c>
      <x:c r="C6" s="26" t="str">
        <x:v>TH-PRJ-ZMYC-A</x:v>
      </x:c>
      <x:c r="D6" s="26" t="str">
        <x:v>极石商贸商品分期保理项目</x:v>
      </x:c>
      <x:c r="E6" s="26" t="str">
        <x:v>生效</x:v>
      </x:c>
      <x:c r="F6" s="26" t="str">
        <x:v>持续进件</x:v>
      </x:c>
      <x:c r="G6" s="27" t="n">
        <x:v>45966</x:v>
      </x:c>
      <x:c r="H6" s="27" t="n">
        <x:v>46218.4174537037</x:v>
      </x:c>
      <x:c r="I6" s="35" t="n">
        <x:v>89161</x:v>
      </x:c>
      <x:c r="J6" s="35" t="n">
        <x:v>196267</x:v>
      </x:c>
      <x:c r="K6" s="26" t="str">
        <x:v>北京自牧云创科技有限公司</x:v>
      </x:c>
      <x:c r="L6" s="26" t="str">
        <x:v>黑龙江省大和融资担保有限公司</x:v>
      </x:c>
      <x:c r="M6" s="26" t="str">
        <x:v>上海通汇嘉泰商业保理有限公司</x:v>
      </x:c>
      <x:c r="N6" s="26" t="str">
        <x:v>通汇诚泰信息科技（上海）有限公司</x:v>
      </x:c>
      <x:c r="O6" s="36" t="n">
        <x:v>0.05</x:v>
      </x:c>
      <x:c r="P6" s="37" t="n">
        <x:v>780000000</x:v>
      </x:c>
      <x:c r="Q6" s="26" t="str">
        <x:v>下限 500 元；上限 50,000 元</x:v>
      </x:c>
      <x:c r="R6" s="26" t="str">
        <x:v>强制回购开关关闭；buyBackRule=0|3-5；grace_day=dd+0；逾期日费率配置0.066667%；再保理至嘉泰 JT_XXT-PRJ-ZMY-A</x:v>
      </x:c>
    </x:row>
    <x:row r="7">
      <x:c r="A7" s="26" t="n">
        <x:v>3</x:v>
      </x:c>
      <x:c r="B7" s="26" t="str">
        <x:v>嘉泰消费分期</x:v>
      </x:c>
      <x:c r="C7" s="26" t="str">
        <x:v>JT_XXT-PRJ-GM-C</x:v>
      </x:c>
      <x:c r="D7" s="26" t="str">
        <x:v>给米医美通汇诚泰保理（再保理）</x:v>
      </x:c>
      <x:c r="E7" s="26" t="str">
        <x:v>生效</x:v>
      </x:c>
      <x:c r="F7" s="26" t="str">
        <x:v>持续进件</x:v>
      </x:c>
      <x:c r="G7" s="27" t="n">
        <x:v>45455</x:v>
      </x:c>
      <x:c r="H7" s="27" t="n">
        <x:v>46232.43751157408</x:v>
      </x:c>
      <x:c r="I7" s="35" t="n">
        <x:v>8469</x:v>
      </x:c>
      <x:c r="J7" s="35" t="n">
        <x:v>40018</x:v>
      </x:c>
      <x:c r="K7" s="26" t="str">
        <x:v>成都给米金融服务外包有限公司</x:v>
      </x:c>
      <x:c r="L7" s="26" t="str">
        <x:v>陕西中为融资担保有限公司</x:v>
      </x:c>
      <x:c r="M7" s="26" t="str">
        <x:v>上海通汇嘉泰商业保理有限公司</x:v>
      </x:c>
      <x:c r="N7" s="26" t="str">
        <x:v>先行通数字科技有限公司</x:v>
      </x:c>
      <x:c r="O7" s="36" t="n">
        <x:v>0.05</x:v>
      </x:c>
      <x:c r="P7" s="37" t="n">
        <x:v>58000000</x:v>
      </x:c>
      <x:c r="Q7" s="26" t="str">
        <x:v>下限 0 元；上限 100,000 元</x:v>
      </x:c>
      <x:c r="R7" s="26" t="str">
        <x:v>未在当前 project_config 匹配到宽限期/回购规则配置；资方侧再保理项目</x:v>
      </x:c>
    </x:row>
    <x:row r="8">
      <x:c r="A8" s="26" t="n">
        <x:v>4</x:v>
      </x:c>
      <x:c r="B8" s="26" t="str">
        <x:v>嘉泰消费分期</x:v>
      </x:c>
      <x:c r="C8" s="26" t="str">
        <x:v>JT_XXT-PRJ-ZG-A</x:v>
      </x:c>
      <x:c r="D8" s="26" t="str">
        <x:v>中公教育通汇嘉泰保理</x:v>
      </x:c>
      <x:c r="E8" s="26" t="str">
        <x:v>生效</x:v>
      </x:c>
      <x:c r="F8" s="26" t="str">
        <x:v>配置生效，近90日无进件</x:v>
      </x:c>
      <x:c r="G8" s="27" t="n">
        <x:v>45587</x:v>
      </x:c>
      <x:c r="H8" s="27" t="n">
        <x:v>45644.73844907407</x:v>
      </x:c>
      <x:c r="I8" s="35" t="n">
        <x:v>0</x:v>
      </x:c>
      <x:c r="J8" s="35" t="n">
        <x:v>23292</x:v>
      </x:c>
      <x:c r="K8" s="26" t="str">
        <x:v>北京中公教育科技有限公司</x:v>
      </x:c>
      <x:c r="L8" s="26" t="str">
        <x:v>生产项目表未配置</x:v>
      </x:c>
      <x:c r="M8" s="26" t="str">
        <x:v>上海通汇嘉泰商业保理有限公司</x:v>
      </x:c>
      <x:c r="N8" s="26" t="str">
        <x:v>通汇诚泰信息科技（上海）有限公司</x:v>
      </x:c>
      <x:c r="O8" s="36" t="n">
        <x:v>0.05</x:v>
      </x:c>
      <x:c r="P8" s="37" t="n">
        <x:v>137740000</x:v>
      </x:c>
      <x:c r="Q8" s="26" t="str">
        <x:v>下限 100 元；上限 100,000 元</x:v>
      </x:c>
      <x:c r="R8" s="26" t="str">
        <x:v>未在当前 project_config 匹配到宽限期/回购规则配置；生产状态仍为生效；建议确认是否仅保留存量贷后</x:v>
      </x:c>
    </x:row>
    <x:row r="9">
      <x:c r="A9" s="26" t="n">
        <x:v>5</x:v>
      </x:c>
      <x:c r="B9" s="26" t="str">
        <x:v>嘉泰消费分期</x:v>
      </x:c>
      <x:c r="C9" s="26" t="str">
        <x:v>JT_XXT-PRJ-LYX-A</x:v>
      </x:c>
      <x:c r="D9" s="26" t="str">
        <x:v>沃橙商品分期通汇嘉泰保理</x:v>
      </x:c>
      <x:c r="E9" s="26" t="str">
        <x:v>生效</x:v>
      </x:c>
      <x:c r="F9" s="26" t="str">
        <x:v>持续进件</x:v>
      </x:c>
      <x:c r="G9" s="27" t="n">
        <x:v>45848</x:v>
      </x:c>
      <x:c r="H9" s="27" t="n">
        <x:v>46233.522210648145</x:v>
      </x:c>
      <x:c r="I9" s="35" t="n">
        <x:v>70984</x:v>
      </x:c>
      <x:c r="J9" s="35" t="n">
        <x:v>195992</x:v>
      </x:c>
      <x:c r="K9" s="26" t="str">
        <x:v>厦门沃橙商贸有限公司</x:v>
      </x:c>
      <x:c r="L9" s="26" t="str">
        <x:v>青海昌泰融资担保有限公司</x:v>
      </x:c>
      <x:c r="M9" s="26" t="str">
        <x:v>上海通汇嘉泰商业保理有限公司</x:v>
      </x:c>
      <x:c r="N9" s="26" t="str">
        <x:v>通汇诚泰信息科技（上海）有限公司</x:v>
      </x:c>
      <x:c r="O9" s="36" t="n">
        <x:v>0.08</x:v>
      </x:c>
      <x:c r="P9" s="37" t="n">
        <x:v>188750000</x:v>
      </x:c>
      <x:c r="Q9" s="26" t="str">
        <x:v>下限 500 元；上限 50,000 元</x:v>
      </x:c>
      <x:c r="R9" s="26" t="str">
        <x:v>buyBackRule=0|3-5；grace_day=dd+0；逾期日费率配置0.066667%；承接消费分期 TH-PRJ-LYX-A</x:v>
      </x:c>
    </x:row>
    <x:row r="10">
      <x:c r="A10" s="26" t="n">
        <x:v>6</x:v>
      </x:c>
      <x:c r="B10" s="26" t="str">
        <x:v>嘉泰消费分期</x:v>
      </x:c>
      <x:c r="C10" s="26" t="str">
        <x:v>JT_XXT-PRJ-ZMY-A</x:v>
      </x:c>
      <x:c r="D10" s="26" t="str">
        <x:v>极石商贸商品分期保理项目</x:v>
      </x:c>
      <x:c r="E10" s="26" t="str">
        <x:v>生效</x:v>
      </x:c>
      <x:c r="F10" s="26" t="str">
        <x:v>持续进件</x:v>
      </x:c>
      <x:c r="G10" s="27" t="n">
        <x:v>45966</x:v>
      </x:c>
      <x:c r="H10" s="27" t="n">
        <x:v>46218.41762731481</x:v>
      </x:c>
      <x:c r="I10" s="35" t="n">
        <x:v>82827</x:v>
      </x:c>
      <x:c r="J10" s="35" t="n">
        <x:v>176652</x:v>
      </x:c>
      <x:c r="K10" s="26" t="str">
        <x:v>芜湖极石商贸有限公司</x:v>
      </x:c>
      <x:c r="L10" s="26" t="str">
        <x:v>黑龙江省大和融资担保有限公司</x:v>
      </x:c>
      <x:c r="M10" s="26" t="str">
        <x:v>上海通汇嘉泰商业保理有限公司</x:v>
      </x:c>
      <x:c r="N10" s="26" t="str">
        <x:v>通汇诚泰信息科技（上海）有限公司</x:v>
      </x:c>
      <x:c r="O10" s="36" t="n">
        <x:v>0.05</x:v>
      </x:c>
      <x:c r="P10" s="37" t="n">
        <x:v>780000000</x:v>
      </x:c>
      <x:c r="Q10" s="26" t="str">
        <x:v>下限 500 元；上限 50,000 元</x:v>
      </x:c>
      <x:c r="R10" s="26" t="str">
        <x:v>buyBackRule=0|3-5；grace_day=dd+0；逾期日费率配置0.066667%；承接消费分期 TH-PRJ-ZMYC-A</x:v>
      </x:c>
    </x:row>
    <x:row r="11">
      <x:c r="A11" s="26" t="n">
        <x:v>7</x:v>
      </x:c>
      <x:c r="B11" s="26" t="str">
        <x:v>嘉泰消费分期</x:v>
      </x:c>
      <x:c r="C11" s="26" t="str">
        <x:v>JT_XXT-PRJ-JK-E</x:v>
      </x:c>
      <x:c r="D11" s="26" t="str">
        <x:v>即科医美通汇诚泰保理（再保理）</x:v>
      </x:c>
      <x:c r="E11" s="26" t="str">
        <x:v>生效</x:v>
      </x:c>
      <x:c r="F11" s="26" t="str">
        <x:v>近90日有进件</x:v>
      </x:c>
      <x:c r="G11" s="27" t="n">
        <x:v>46022</x:v>
      </x:c>
      <x:c r="H11" s="27" t="n">
        <x:v>46188.57386574074</x:v>
      </x:c>
      <x:c r="I11" s="35" t="n">
        <x:v>3659</x:v>
      </x:c>
      <x:c r="J11" s="35" t="n">
        <x:v>14499</x:v>
      </x:c>
      <x:c r="K11" s="26" t="str">
        <x:v>上海即科智能技术集团有限公司</x:v>
      </x:c>
      <x:c r="L11" s="26" t="str">
        <x:v>黑龙江省大和融资担保有限公司</x:v>
      </x:c>
      <x:c r="M11" s="26" t="str">
        <x:v>上海通汇嘉泰商业保理有限公司</x:v>
      </x:c>
      <x:c r="N11" s="26" t="str">
        <x:v>通汇诚泰信息科技（上海）有限公司</x:v>
      </x:c>
      <x:c r="O11" s="36" t="n">
        <x:v>0.05</x:v>
      </x:c>
      <x:c r="P11" s="37" t="n">
        <x:v>68000000</x:v>
      </x:c>
      <x:c r="Q11" s="26" t="str">
        <x:v>下限 0 元；上限 100,000 元</x:v>
      </x:c>
      <x:c r="R11" s="26" t="str">
        <x:v>未在当前 project_config 匹配到宽限期/回购规则配置；近30日无新进件，最近进件为2026-06-15</x:v>
      </x:c>
    </x:row>
  </x:sheetData>
  <x:mergeCells>
    <x:mergeCell ref="A1:R1"/>
    <x:mergeCell ref="A2:R2"/>
  </x:mergeCells>
  <x:conditionalFormatting sqref="F5:F11">
    <x:cfRule type="containsText" dxfId="0" priority="1" operator="containsText" text="近90日无进件"/>
  </x:conditionalFormatting>
  <x:conditionalFormatting sqref="A5:R11">
    <x:cfRule type="expression" dxfId="1" priority="2">
      <x:formula>$B5="消费分期"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2" hidden="0" customWidth="1"/>
    <x:col min="4" max="4" width="24" hidden="0" customWidth="1"/>
    <x:col min="5" max="5" width="34" hidden="0" customWidth="1"/>
    <x:col min="6" max="6" width="10" hidden="0" customWidth="1"/>
    <x:col min="7" max="7" width="14" hidden="0" customWidth="1"/>
    <x:col min="8" max="8" width="12" hidden="0" customWidth="1"/>
    <x:col min="9" max="9" width="16" hidden="0" customWidth="1"/>
    <x:col min="10" max="10" width="32" hidden="0" customWidth="1"/>
    <x:col min="11" max="11" width="52" hidden="0" customWidth="1"/>
    <x:col min="12" max="12" width="52" hidden="0" customWidth="1"/>
    <x:col min="13" max="13" width="18" hidden="0" customWidth="1"/>
    <x:col min="14" max="14" width="24" hidden="0" customWidth="1"/>
    <x:col min="15" max="15" width="26" hidden="0" customWidth="1"/>
    <x:col min="16" max="16" width="30" hidden="0" customWidth="1"/>
    <x:col min="17" max="17" width="38" hidden="0" customWidth="1"/>
  </x:cols>
  <x:sheetData>
    <x:row r="1" ht="30" customHeight="1">
      <x:c r="A1" s="3" t="str">
        <x:v>生产生效产品要素（参考“产品要素/付息/贴息”结构整理）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44" t="str">
        <x:v>费率列保留生产配置精度；按期数配置可能包含当前未启用期数，支持期数以“支持期数”列为准。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</x:row>
    <x:row r="4">
      <x:c r="A4" s="23" t="str">
        <x:v>序号</x:v>
      </x:c>
      <x:c r="B4" s="23" t="str">
        <x:v>业务线</x:v>
      </x:c>
      <x:c r="C4" s="23" t="str">
        <x:v>项目编号</x:v>
      </x:c>
      <x:c r="D4" s="23" t="str">
        <x:v>产品编号</x:v>
      </x:c>
      <x:c r="E4" s="23" t="str">
        <x:v>产品名称</x:v>
      </x:c>
      <x:c r="F4" s="23" t="str">
        <x:v>生产状态</x:v>
      </x:c>
      <x:c r="G4" s="23" t="str">
        <x:v>产品模式</x:v>
      </x:c>
      <x:c r="H4" s="23" t="str">
        <x:v>还款方式</x:v>
      </x:c>
      <x:c r="I4" s="23" t="str">
        <x:v>支持期数</x:v>
      </x:c>
      <x:c r="J4" s="23" t="str">
        <x:v>对客/贴息利率配置</x:v>
      </x:c>
      <x:c r="K4" s="23" t="str">
        <x:v>资金方服务费率配置</x:v>
      </x:c>
      <x:c r="L4" s="23" t="str">
        <x:v>平台/技术服务费率配置</x:v>
      </x:c>
      <x:c r="M4" s="23" t="str">
        <x:v>绑卡/支付通道</x:v>
      </x:c>
      <x:c r="N4" s="23" t="str">
        <x:v>再保理目标项目</x:v>
      </x:c>
      <x:c r="O4" s="23" t="str">
        <x:v>资方侧产品编号</x:v>
      </x:c>
      <x:c r="P4" s="23" t="str">
        <x:v>还款计划策略</x:v>
      </x:c>
      <x:c r="Q4" s="23" t="str">
        <x:v>特殊说明</x:v>
      </x:c>
    </x:row>
    <x:row r="5">
      <x:c r="A5" s="26" t="n">
        <x:v>1</x:v>
      </x:c>
      <x:c r="B5" s="26" t="str">
        <x:v>消费分期</x:v>
      </x:c>
      <x:c r="C5" s="26" t="str">
        <x:v>TH-PRJ-LYX-A</x:v>
      </x:c>
      <x:c r="D5" s="26" t="str">
        <x:v>TH-PRD-LYX-A001</x:v>
      </x:c>
      <x:c r="E5" s="26" t="str">
        <x:v>鹿优选商品分期-嘉泰</x:v>
      </x:c>
      <x:c r="F5" s="26" t="str">
        <x:v>生效</x:v>
      </x:c>
      <x:c r="G5" s="26" t="str">
        <x:v>客户付息</x:v>
      </x:c>
      <x:c r="H5" s="26" t="str">
        <x:v>等额本息</x:v>
      </x:c>
      <x:c r="I5" s="26" t="str">
        <x:v>3、6</x:v>
      </x:c>
      <x:c r="J5" s="26" t="str">
        <x:v>配置24%；支持期数范围14.000%～36.000%</x:v>
      </x:c>
      <x:c r="K5" s="26" t="str">
        <x:v>3期 7.55%；6期 7.50%；9期 7.44%；12期 7.37%</x:v>
      </x:c>
      <x:c r="L5" s="26" t="str">
        <x:v>3期 4.27%；6期 4.20%；9期 4.15%；12期 4.10%</x:v>
      </x:c>
      <x:c r="M5" s="26" t="str">
        <x:v>汇付、易宝</x:v>
      </x:c>
      <x:c r="N5" s="26" t="str">
        <x:v>JT_XXT-PRJ-LYX-A</x:v>
      </x:c>
      <x:c r="O5" s="26" t="str">
        <x:v>JT_PRD-LYX-A001</x:v>
      </x:c>
      <x:c r="P5" s="26" t="str">
        <x:v>HZF000141_Refactoring</x:v>
      </x:c>
      <x:c r="Q5" s="26" t="str">
        <x:v>资产处理方式=再保理；还款日按产品普通策略</x:v>
      </x:c>
    </x:row>
    <x:row r="6">
      <x:c r="A6" s="26" t="n">
        <x:v>2</x:v>
      </x:c>
      <x:c r="B6" s="26" t="str">
        <x:v>消费分期</x:v>
      </x:c>
      <x:c r="C6" s="26" t="str">
        <x:v>TH-PRJ-LYX-A</x:v>
      </x:c>
      <x:c r="D6" s="26" t="str">
        <x:v>TH-PRD-LYX-A002</x:v>
      </x:c>
      <x:c r="E6" s="26" t="str">
        <x:v>鹿优选商品分期-嘉泰-固定还款日（8）</x:v>
      </x:c>
      <x:c r="F6" s="26" t="str">
        <x:v>生效</x:v>
      </x:c>
      <x:c r="G6" s="26" t="str">
        <x:v>客户付息</x:v>
      </x:c>
      <x:c r="H6" s="26" t="str">
        <x:v>等额本息</x:v>
      </x:c>
      <x:c r="I6" s="26" t="str">
        <x:v>3、6</x:v>
      </x:c>
      <x:c r="J6" s="26" t="str">
        <x:v>配置24%；支持期数范围14.000%～36.000%</x:v>
      </x:c>
      <x:c r="K6" s="26" t="str">
        <x:v>3期 7.56%；6期 7.48%；9期 7.41%；12期 7.34%</x:v>
      </x:c>
      <x:c r="L6" s="26" t="str">
        <x:v>3期 4.44%；6期 4.52%；9期 4.59%；12期 4.66%</x:v>
      </x:c>
      <x:c r="M6" s="26" t="str">
        <x:v>汇付、易宝</x:v>
      </x:c>
      <x:c r="N6" s="26" t="str">
        <x:v>JT_XXT-PRJ-LYX-A</x:v>
      </x:c>
      <x:c r="O6" s="26" t="str">
        <x:v>JT_PRD-LYX-A002</x:v>
      </x:c>
      <x:c r="P6" s="26" t="str">
        <x:v>HZF000141_Refactoring_Fixed</x:v>
      </x:c>
      <x:c r="Q6" s="26" t="str">
        <x:v>资产处理方式=再保理；固定还款日（8）</x:v>
      </x:c>
    </x:row>
    <x:row r="7">
      <x:c r="A7" s="26" t="n">
        <x:v>3</x:v>
      </x:c>
      <x:c r="B7" s="26" t="str">
        <x:v>消费分期</x:v>
      </x:c>
      <x:c r="C7" s="26" t="str">
        <x:v>TH-PRJ-ZMYC-A</x:v>
      </x:c>
      <x:c r="D7" s="26" t="str">
        <x:v>TH-PRD-ZMYC-A001</x:v>
      </x:c>
      <x:c r="E7" s="26" t="str">
        <x:v>自牧云创商品分期通汇嘉泰保理</x:v>
      </x:c>
      <x:c r="F7" s="26" t="str">
        <x:v>生效</x:v>
      </x:c>
      <x:c r="G7" s="26" t="str">
        <x:v>客户付息</x:v>
      </x:c>
      <x:c r="H7" s="26" t="str">
        <x:v>等额本息</x:v>
      </x:c>
      <x:c r="I7" s="26" t="str">
        <x:v>3、6、9、12</x:v>
      </x:c>
      <x:c r="J7" s="26" t="str">
        <x:v>配置24%；支持期数范围12.000%～36.000%</x:v>
      </x:c>
      <x:c r="K7" s="26" t="str">
        <x:v>3期 7.86%；6期 7.84%；9期 7.83%；12期 7.82%</x:v>
      </x:c>
      <x:c r="L7" s="26" t="str">
        <x:v>3期 4.14%；6期 4.16%；9期 4.17%；12期 4.18%</x:v>
      </x:c>
      <x:c r="M7" s="26" t="str">
        <x:v>易宝</x:v>
      </x:c>
      <x:c r="N7" s="26" t="str">
        <x:v>JT_XXT-PRJ-ZMY-A</x:v>
      </x:c>
      <x:c r="O7" s="26" t="str">
        <x:v>JT_XXT-PRJ-ZMY-A001</x:v>
      </x:c>
      <x:c r="P7" s="26" t="str">
        <x:v>HZF000142_Refactoring</x:v>
      </x:c>
      <x:c r="Q7" s="26" t="str">
        <x:v>资产处理方式=再保理</x:v>
      </x:c>
    </x:row>
    <x:row r="8">
      <x:c r="A8" s="26" t="n">
        <x:v>4</x:v>
      </x:c>
      <x:c r="B8" s="26" t="str">
        <x:v>消费分期</x:v>
      </x:c>
      <x:c r="C8" s="26" t="str">
        <x:v>TH-PRJ-ZMYC-A</x:v>
      </x:c>
      <x:c r="D8" s="26" t="str">
        <x:v>TH-PRD-ZMYC-A002</x:v>
      </x:c>
      <x:c r="E8" s="26" t="str">
        <x:v>极石商贸商品分期通汇嘉泰保理</x:v>
      </x:c>
      <x:c r="F8" s="26" t="str">
        <x:v>生效</x:v>
      </x:c>
      <x:c r="G8" s="26" t="str">
        <x:v>客户付息</x:v>
      </x:c>
      <x:c r="H8" s="26" t="str">
        <x:v>等额本息</x:v>
      </x:c>
      <x:c r="I8" s="26" t="str">
        <x:v>3、6、9、12</x:v>
      </x:c>
      <x:c r="J8" s="26" t="str">
        <x:v>配置24%；支持期数范围12.000%～36.000%</x:v>
      </x:c>
      <x:c r="K8" s="26" t="str">
        <x:v>3期 7.86%；6期 7.84%；9期 7.83%；12期 7.82%</x:v>
      </x:c>
      <x:c r="L8" s="26" t="str">
        <x:v>3期 4.14%；6期 4.16%；9期 4.17%；12期 4.18%</x:v>
      </x:c>
      <x:c r="M8" s="26" t="str">
        <x:v>易宝</x:v>
      </x:c>
      <x:c r="N8" s="26" t="str">
        <x:v>JT_XXT-PRJ-ZMY-A</x:v>
      </x:c>
      <x:c r="O8" s="26" t="str">
        <x:v>JT_XXT-PRJ-ZMY-A002</x:v>
      </x:c>
      <x:c r="P8" s="26" t="str">
        <x:v>HZF000142_Refactoring</x:v>
      </x:c>
      <x:c r="Q8" s="26" t="str">
        <x:v>资产处理方式=再保理</x:v>
      </x:c>
    </x:row>
    <x:row r="9">
      <x:c r="A9" s="26" t="n">
        <x:v>5</x:v>
      </x:c>
      <x:c r="B9" s="26" t="str">
        <x:v>嘉泰消费分期</x:v>
      </x:c>
      <x:c r="C9" s="26" t="str">
        <x:v>JT_XXT-PRJ-GM-C</x:v>
      </x:c>
      <x:c r="D9" s="26" t="str">
        <x:v>JT_PRD-GM-C001</x:v>
      </x:c>
      <x:c r="E9" s="26" t="str">
        <x:v>给米医美-客户付息（再保理）</x:v>
      </x:c>
      <x:c r="F9" s="26" t="str">
        <x:v>生效</x:v>
      </x:c>
      <x:c r="G9" s="26" t="str">
        <x:v>客户付息</x:v>
      </x:c>
      <x:c r="H9" s="26" t="str">
        <x:v>等额本息</x:v>
      </x:c>
      <x:c r="I9" s="26" t="str">
        <x:v>3、6、9、12、18、24</x:v>
      </x:c>
      <x:c r="J9" s="26" t="str">
        <x:v>配置24%；范围配置14.000%～36.000%</x:v>
      </x:c>
      <x:c r="K9" s="26" t="str">
        <x:v>7.82%</x:v>
      </x:c>
      <x:c r="L9" s="26" t="str">
        <x:v>4.68%</x:v>
      </x:c>
      <x:c r="M9" s="26" t="str">
        <x:v>宝付</x:v>
      </x:c>
      <x:c r="N9" s="26" t="str">
        <x:v>—</x:v>
      </x:c>
      <x:c r="O9" s="26" t="str">
        <x:v>—</x:v>
      </x:c>
      <x:c r="P9" s="26" t="str">
        <x:v>HZF000118_Refactoring</x:v>
      </x:c>
      <x:c r="Q9" s="26" t="str">
        <x:v>嘉泰资方侧再保理产品</x:v>
      </x:c>
    </x:row>
    <x:row r="10">
      <x:c r="A10" s="26" t="n">
        <x:v>6</x:v>
      </x:c>
      <x:c r="B10" s="26" t="str">
        <x:v>嘉泰消费分期</x:v>
      </x:c>
      <x:c r="C10" s="26" t="str">
        <x:v>JT_XXT-PRJ-JK-E</x:v>
      </x:c>
      <x:c r="D10" s="26" t="str">
        <x:v>JT_PRD-JK-E002</x:v>
      </x:c>
      <x:c r="E10" s="26" t="str">
        <x:v>即科医美-客户付息（再保理）</x:v>
      </x:c>
      <x:c r="F10" s="26" t="str">
        <x:v>生效</x:v>
      </x:c>
      <x:c r="G10" s="26" t="str">
        <x:v>客户付息</x:v>
      </x:c>
      <x:c r="H10" s="26" t="str">
        <x:v>等额本息</x:v>
      </x:c>
      <x:c r="I10" s="26" t="str">
        <x:v>3、6、9、12、18、24</x:v>
      </x:c>
      <x:c r="J10" s="26" t="str">
        <x:v>配置24%；范围配置14.000%～36.000%</x:v>
      </x:c>
      <x:c r="K10" s="26" t="str">
        <x:v>3期 7.89%；6期 7.89%；9期 7.89%；12期 7.81%；18期 7.80%；24期 7.80%</x:v>
      </x:c>
      <x:c r="L10" s="26" t="str">
        <x:v>3期 5.61%；6期 5.61%；9期 5.61%；12期 5.69%；18期 5.70%；24期 5.70%</x:v>
      </x:c>
      <x:c r="M10" s="26" t="str">
        <x:v>通联</x:v>
      </x:c>
      <x:c r="N10" s="26" t="str">
        <x:v>—</x:v>
      </x:c>
      <x:c r="O10" s="26" t="str">
        <x:v>—</x:v>
      </x:c>
      <x:c r="P10" s="26" t="str">
        <x:v>HZF000036_Refactoring</x:v>
      </x:c>
      <x:c r="Q10" s="26" t="str">
        <x:v>嘉泰资方侧再保理产品</x:v>
      </x:c>
    </x:row>
    <x:row r="11">
      <x:c r="A11" s="26" t="n">
        <x:v>7</x:v>
      </x:c>
      <x:c r="B11" s="26" t="str">
        <x:v>嘉泰消费分期</x:v>
      </x:c>
      <x:c r="C11" s="26" t="str">
        <x:v>JT_XXT-PRJ-JK-E</x:v>
      </x:c>
      <x:c r="D11" s="26" t="str">
        <x:v>JT_PRD-JK-E001</x:v>
      </x:c>
      <x:c r="E11" s="26" t="str">
        <x:v>即科医美-商户贴息（再保理）</x:v>
      </x:c>
      <x:c r="F11" s="26" t="str">
        <x:v>生效</x:v>
      </x:c>
      <x:c r="G11" s="26" t="str">
        <x:v>商户全额贴息</x:v>
      </x:c>
      <x:c r="H11" s="26" t="str">
        <x:v>等额本息</x:v>
      </x:c>
      <x:c r="I11" s="26" t="str">
        <x:v>3、6、9、12、18、24</x:v>
      </x:c>
      <x:c r="J11" s="26" t="str">
        <x:v>产品模型为商户全额贴息；通用对客配置仍为24%</x:v>
      </x:c>
      <x:c r="K11" s="26" t="str">
        <x:v>3期 7.89%；6期 7.89%；9期 7.89%；12期 7.81%；18期 7.80%；24期 7.80%</x:v>
      </x:c>
      <x:c r="L11" s="26" t="str">
        <x:v>3期 5.61%；6期 5.61%；9期 5.61%；12期 5.69%；18期 5.70%；24期 5.70%</x:v>
      </x:c>
      <x:c r="M11" s="26" t="str">
        <x:v>通联</x:v>
      </x:c>
      <x:c r="N11" s="26" t="str">
        <x:v>—</x:v>
      </x:c>
      <x:c r="O11" s="26" t="str">
        <x:v>—</x:v>
      </x:c>
      <x:c r="P11" s="26" t="str">
        <x:v>HZF000036_Refactoring</x:v>
      </x:c>
      <x:c r="Q11" s="26" t="str">
        <x:v>贴息产品；实际订单利率以进件与模型校验为准</x:v>
      </x:c>
    </x:row>
    <x:row r="12">
      <x:c r="A12" s="26" t="n">
        <x:v>8</x:v>
      </x:c>
      <x:c r="B12" s="26" t="str">
        <x:v>嘉泰消费分期</x:v>
      </x:c>
      <x:c r="C12" s="26" t="str">
        <x:v>JT_XXT-PRJ-LYX-A</x:v>
      </x:c>
      <x:c r="D12" s="26" t="str">
        <x:v>JT_PRD-LYX-A001</x:v>
      </x:c>
      <x:c r="E12" s="26" t="str">
        <x:v>鹿优选商品分期</x:v>
      </x:c>
      <x:c r="F12" s="26" t="str">
        <x:v>生效</x:v>
      </x:c>
      <x:c r="G12" s="26" t="str">
        <x:v>客户付息</x:v>
      </x:c>
      <x:c r="H12" s="26" t="str">
        <x:v>等额本息</x:v>
      </x:c>
      <x:c r="I12" s="26" t="str">
        <x:v>3、6</x:v>
      </x:c>
      <x:c r="J12" s="26" t="str">
        <x:v>配置24%；3期10.532%～35.980%；6期10.527%～35.986%</x:v>
      </x:c>
      <x:c r="K12" s="26" t="str">
        <x:v>3期 7.55%；6期 7.50%；9期 7.44%；12期 7.37%</x:v>
      </x:c>
      <x:c r="L12" s="26" t="str">
        <x:v>3期 4.27%；6期 4.20%；9期 4.15%；12期 4.10%</x:v>
      </x:c>
      <x:c r="M12" s="26" t="str">
        <x:v>汇付</x:v>
      </x:c>
      <x:c r="N12" s="26" t="str">
        <x:v>—</x:v>
      </x:c>
      <x:c r="O12" s="26" t="str">
        <x:v>—</x:v>
      </x:c>
      <x:c r="P12" s="26" t="str">
        <x:v>HZF000141_Refactoring</x:v>
      </x:c>
      <x:c r="Q12" s="26" t="str">
        <x:v>承接消费侧 TH-PRD-LYX-A001</x:v>
      </x:c>
    </x:row>
    <x:row r="13">
      <x:c r="A13" s="26" t="n">
        <x:v>9</x:v>
      </x:c>
      <x:c r="B13" s="26" t="str">
        <x:v>嘉泰消费分期</x:v>
      </x:c>
      <x:c r="C13" s="26" t="str">
        <x:v>JT_XXT-PRJ-LYX-A</x:v>
      </x:c>
      <x:c r="D13" s="26" t="str">
        <x:v>JT_PRD-LYX-A002</x:v>
      </x:c>
      <x:c r="E13" s="26" t="str">
        <x:v>鹿优选商品分期-嘉泰-固定还款日（8）</x:v>
      </x:c>
      <x:c r="F13" s="26" t="str">
        <x:v>生效</x:v>
      </x:c>
      <x:c r="G13" s="26" t="str">
        <x:v>客户付息</x:v>
      </x:c>
      <x:c r="H13" s="26" t="str">
        <x:v>等额本息</x:v>
      </x:c>
      <x:c r="I13" s="26" t="str">
        <x:v>3、6</x:v>
      </x:c>
      <x:c r="J13" s="26" t="str">
        <x:v>配置24%；3期10.532%～35.980%；6期10.527%～35.986%</x:v>
      </x:c>
      <x:c r="K13" s="26" t="str">
        <x:v>3期 7.56%；6期 7.48%；9期 7.41%；12期 7.34%</x:v>
      </x:c>
      <x:c r="L13" s="26" t="str">
        <x:v>3期 4.44%；6期 4.52%；9期 4.59%；12期 4.66%</x:v>
      </x:c>
      <x:c r="M13" s="26" t="str">
        <x:v>汇付</x:v>
      </x:c>
      <x:c r="N13" s="26" t="str">
        <x:v>—</x:v>
      </x:c>
      <x:c r="O13" s="26" t="str">
        <x:v>—</x:v>
      </x:c>
      <x:c r="P13" s="26" t="str">
        <x:v>HZF000141_Refactoring_Fixed</x:v>
      </x:c>
      <x:c r="Q13" s="26" t="str">
        <x:v>承接消费侧 TH-PRD-LYX-A002；固定还款日（8）</x:v>
      </x:c>
    </x:row>
    <x:row r="14">
      <x:c r="A14" s="26" t="n">
        <x:v>10</x:v>
      </x:c>
      <x:c r="B14" s="26" t="str">
        <x:v>嘉泰消费分期</x:v>
      </x:c>
      <x:c r="C14" s="26" t="str">
        <x:v>JT_XXT-PRJ-ZG-A</x:v>
      </x:c>
      <x:c r="D14" s="26" t="str">
        <x:v>JT_PRD-ZG-A001</x:v>
      </x:c>
      <x:c r="E14" s="26" t="str">
        <x:v>中公教育-客户付息</x:v>
      </x:c>
      <x:c r="F14" s="26" t="str">
        <x:v>生效</x:v>
      </x:c>
      <x:c r="G14" s="26" t="str">
        <x:v>客户付息</x:v>
      </x:c>
      <x:c r="H14" s="26" t="str">
        <x:v>等额本息</x:v>
      </x:c>
      <x:c r="I14" s="26" t="str">
        <x:v>36</x:v>
      </x:c>
      <x:c r="J14" s="26" t="str">
        <x:v>配置24%；期数范围配置未包含36期</x:v>
      </x:c>
      <x:c r="K14" s="26" t="str">
        <x:v>6.50%</x:v>
      </x:c>
      <x:c r="L14" s="26" t="str">
        <x:v>0.00%</x:v>
      </x:c>
      <x:c r="M14" s="26" t="str">
        <x:v>通联</x:v>
      </x:c>
      <x:c r="N14" s="26" t="str">
        <x:v>—</x:v>
      </x:c>
      <x:c r="O14" s="26" t="str">
        <x:v>—</x:v>
      </x:c>
      <x:c r="P14" s="26" t="str">
        <x:v>HZF000140</x:v>
      </x:c>
      <x:c r="Q14" s="26" t="str">
        <x:v>生产配置生效，但近90日无进件</x:v>
      </x:c>
    </x:row>
    <x:row r="15">
      <x:c r="A15" s="26" t="n">
        <x:v>11</x:v>
      </x:c>
      <x:c r="B15" s="26" t="str">
        <x:v>嘉泰消费分期</x:v>
      </x:c>
      <x:c r="C15" s="26" t="str">
        <x:v>JT_XXT-PRJ-ZMY-A</x:v>
      </x:c>
      <x:c r="D15" s="26" t="str">
        <x:v>JT_XXT-PRJ-ZMY-A001</x:v>
      </x:c>
      <x:c r="E15" s="26" t="str">
        <x:v>自牧云创商品分期通汇嘉泰保理</x:v>
      </x:c>
      <x:c r="F15" s="26" t="str">
        <x:v>生效</x:v>
      </x:c>
      <x:c r="G15" s="26" t="str">
        <x:v>客户付息</x:v>
      </x:c>
      <x:c r="H15" s="26" t="str">
        <x:v>等额本息</x:v>
      </x:c>
      <x:c r="I15" s="26" t="str">
        <x:v>3、6、9、12</x:v>
      </x:c>
      <x:c r="J15" s="26" t="str">
        <x:v>配置24%；支持期数范围12.000%～36.000%</x:v>
      </x:c>
      <x:c r="K15" s="26" t="str">
        <x:v>3期 7.86%；6期 7.84%；9期 7.83%；12期 7.82%</x:v>
      </x:c>
      <x:c r="L15" s="26" t="str">
        <x:v>3期 4.14%；6期 4.16%；9期 4.17%；12期 4.18%</x:v>
      </x:c>
      <x:c r="M15" s="26" t="str">
        <x:v>易宝</x:v>
      </x:c>
      <x:c r="N15" s="26" t="str">
        <x:v>—</x:v>
      </x:c>
      <x:c r="O15" s="26" t="str">
        <x:v>—</x:v>
      </x:c>
      <x:c r="P15" s="26" t="str">
        <x:v>HZF000142_Refactoring</x:v>
      </x:c>
      <x:c r="Q15" s="26" t="str">
        <x:v>承接消费侧 TH-PRD-ZMYC-A001</x:v>
      </x:c>
    </x:row>
    <x:row r="16">
      <x:c r="A16" s="26" t="n">
        <x:v>12</x:v>
      </x:c>
      <x:c r="B16" s="26" t="str">
        <x:v>嘉泰消费分期</x:v>
      </x:c>
      <x:c r="C16" s="26" t="str">
        <x:v>JT_XXT-PRJ-ZMY-A</x:v>
      </x:c>
      <x:c r="D16" s="26" t="str">
        <x:v>JT_XXT-PRJ-ZMY-A002</x:v>
      </x:c>
      <x:c r="E16" s="26" t="str">
        <x:v>极石商贸商品分期通汇嘉泰保理</x:v>
      </x:c>
      <x:c r="F16" s="26" t="str">
        <x:v>生效</x:v>
      </x:c>
      <x:c r="G16" s="26" t="str">
        <x:v>客户付息</x:v>
      </x:c>
      <x:c r="H16" s="26" t="str">
        <x:v>等额本息</x:v>
      </x:c>
      <x:c r="I16" s="26" t="str">
        <x:v>3、6、9、12</x:v>
      </x:c>
      <x:c r="J16" s="26" t="str">
        <x:v>配置24%；支持期数范围12.000%～36.000%</x:v>
      </x:c>
      <x:c r="K16" s="26" t="str">
        <x:v>3期 7.86%；6期 7.84%；9期 7.83%；12期 7.82%</x:v>
      </x:c>
      <x:c r="L16" s="26" t="str">
        <x:v>3期 4.14%；6期 4.16%；9期 4.17%；12期 4.18%</x:v>
      </x:c>
      <x:c r="M16" s="26" t="str">
        <x:v>易宝</x:v>
      </x:c>
      <x:c r="N16" s="26" t="str">
        <x:v>—</x:v>
      </x:c>
      <x:c r="O16" s="26" t="str">
        <x:v>—</x:v>
      </x:c>
      <x:c r="P16" s="26" t="str">
        <x:v>HZF000142_Refactoring</x:v>
      </x:c>
      <x:c r="Q16" s="26" t="str">
        <x:v>承接消费侧 TH-PRD-ZMYC-A002</x:v>
      </x:c>
    </x:row>
  </x:sheetData>
  <x:mergeCells>
    <x:mergeCell ref="A1:Q1"/>
    <x:mergeCell ref="A2:Q2"/>
  </x:mergeCells>
  <x:conditionalFormatting sqref="G5:G16">
    <x:cfRule type="containsText" dxfId="2" priority="1" operator="containsText" text="商户全额贴息"/>
  </x:conditionalFormatting>
  <x:conditionalFormatting sqref="A5:Q16">
    <x:cfRule type="expression" dxfId="3" priority="2">
      <x:formula>$B5="消费分期"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6" hidden="0" customWidth="1"/>
    <x:col min="4" max="4" width="26" hidden="0" customWidth="1"/>
    <x:col min="5" max="5" width="28" hidden="0" customWidth="1"/>
    <x:col min="6" max="6" width="12" hidden="0" customWidth="1"/>
    <x:col min="7" max="7" width="22" hidden="0" customWidth="1"/>
    <x:col min="8" max="8" width="24" hidden="0" customWidth="1"/>
    <x:col min="9" max="9" width="34" hidden="0" customWidth="1"/>
    <x:col min="10" max="10" width="44" hidden="0" customWidth="1"/>
  </x:cols>
  <x:sheetData>
    <x:row r="1" ht="30" customHeight="1">
      <x:c r="A1" s="3" t="str">
        <x:v>消费分期 → 嘉泰消费分期 再保理映射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5" t="str">
        <x:v>映射来源：消费侧产品配置 FunderProjectCode / AssetProductCode，并与嘉泰生产生效项目、产品逐项核对。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23" t="str">
        <x:v>序号</x:v>
      </x:c>
      <x:c r="B4" s="23" t="str">
        <x:v>消费侧项目</x:v>
      </x:c>
      <x:c r="C4" s="23" t="str">
        <x:v>消费侧产品</x:v>
      </x:c>
      <x:c r="D4" s="23" t="str">
        <x:v>嘉泰侧项目</x:v>
      </x:c>
      <x:c r="E4" s="23" t="str">
        <x:v>嘉泰侧产品</x:v>
      </x:c>
      <x:c r="F4" s="23" t="str">
        <x:v>状态</x:v>
      </x:c>
      <x:c r="G4" s="23" t="str">
        <x:v>期数对比</x:v>
      </x:c>
      <x:c r="H4" s="23" t="str">
        <x:v>费率配置对比</x:v>
      </x:c>
      <x:c r="I4" s="23" t="str">
        <x:v>支付通道对比</x:v>
      </x:c>
      <x:c r="J4" s="23" t="str">
        <x:v>说明</x:v>
      </x:c>
    </x:row>
    <x:row r="5">
      <x:c r="A5" s="26" t="n">
        <x:v>1</x:v>
      </x:c>
      <x:c r="B5" s="26" t="str">
        <x:v>TH-PRJ-LYX-A</x:v>
      </x:c>
      <x:c r="C5" s="26" t="str">
        <x:v>TH-PRD-LYX-A001</x:v>
      </x:c>
      <x:c r="D5" s="26" t="str">
        <x:v>JT_XXT-PRJ-LYX-A</x:v>
      </x:c>
      <x:c r="E5" s="26" t="str">
        <x:v>JT_PRD-LYX-A001</x:v>
      </x:c>
      <x:c r="F5" s="26" t="str">
        <x:v>两侧生效</x:v>
      </x:c>
      <x:c r="G5" s="26" t="str">
        <x:v>一致：3、6期</x:v>
      </x:c>
      <x:c r="H5" s="26" t="str">
        <x:v>资金方/平台费率一致</x:v>
      </x:c>
      <x:c r="I5" s="34" t="str">
        <x:v>消费侧：汇付、易宝；嘉泰侧：汇付</x:v>
      </x:c>
      <x:c r="J5" s="26" t="str">
        <x:v>支付通道配置存在侧向差异</x:v>
      </x:c>
    </x:row>
    <x:row r="6">
      <x:c r="A6" s="26" t="n">
        <x:v>2</x:v>
      </x:c>
      <x:c r="B6" s="26" t="str">
        <x:v>TH-PRJ-LYX-A</x:v>
      </x:c>
      <x:c r="C6" s="26" t="str">
        <x:v>TH-PRD-LYX-A002</x:v>
      </x:c>
      <x:c r="D6" s="26" t="str">
        <x:v>JT_XXT-PRJ-LYX-A</x:v>
      </x:c>
      <x:c r="E6" s="26" t="str">
        <x:v>JT_PRD-LYX-A002</x:v>
      </x:c>
      <x:c r="F6" s="26" t="str">
        <x:v>两侧生效</x:v>
      </x:c>
      <x:c r="G6" s="26" t="str">
        <x:v>一致：3、6期</x:v>
      </x:c>
      <x:c r="H6" s="26" t="str">
        <x:v>资金方/平台费率一致</x:v>
      </x:c>
      <x:c r="I6" s="34" t="str">
        <x:v>消费侧：汇付、易宝；嘉泰侧：汇付</x:v>
      </x:c>
      <x:c r="J6" s="26" t="str">
        <x:v>固定还款日策略两侧一致</x:v>
      </x:c>
    </x:row>
    <x:row r="7">
      <x:c r="A7" s="26" t="n">
        <x:v>3</x:v>
      </x:c>
      <x:c r="B7" s="26" t="str">
        <x:v>TH-PRJ-ZMYC-A</x:v>
      </x:c>
      <x:c r="C7" s="26" t="str">
        <x:v>TH-PRD-ZMYC-A001</x:v>
      </x:c>
      <x:c r="D7" s="26" t="str">
        <x:v>JT_XXT-PRJ-ZMY-A</x:v>
      </x:c>
      <x:c r="E7" s="26" t="str">
        <x:v>JT_XXT-PRJ-ZMY-A001</x:v>
      </x:c>
      <x:c r="F7" s="26" t="str">
        <x:v>两侧生效</x:v>
      </x:c>
      <x:c r="G7" s="26" t="str">
        <x:v>一致：3、6、9、12期</x:v>
      </x:c>
      <x:c r="H7" s="26" t="str">
        <x:v>资金方/平台费率一致</x:v>
      </x:c>
      <x:c r="I7" s="26" t="str">
        <x:v>一致：易宝</x:v>
      </x:c>
      <x:c r="J7" s="26" t="str">
        <x:v>消费侧项目合作方为北京自牧云创；嘉泰侧项目合作方为芜湖极石</x:v>
      </x:c>
    </x:row>
    <x:row r="8">
      <x:c r="A8" s="26" t="n">
        <x:v>4</x:v>
      </x:c>
      <x:c r="B8" s="26" t="str">
        <x:v>TH-PRJ-ZMYC-A</x:v>
      </x:c>
      <x:c r="C8" s="26" t="str">
        <x:v>TH-PRD-ZMYC-A002</x:v>
      </x:c>
      <x:c r="D8" s="26" t="str">
        <x:v>JT_XXT-PRJ-ZMY-A</x:v>
      </x:c>
      <x:c r="E8" s="26" t="str">
        <x:v>JT_XXT-PRJ-ZMY-A002</x:v>
      </x:c>
      <x:c r="F8" s="26" t="str">
        <x:v>两侧生效</x:v>
      </x:c>
      <x:c r="G8" s="26" t="str">
        <x:v>一致：3、6、9、12期</x:v>
      </x:c>
      <x:c r="H8" s="26" t="str">
        <x:v>资金方/平台费率一致</x:v>
      </x:c>
      <x:c r="I8" s="26" t="str">
        <x:v>一致：易宝</x:v>
      </x:c>
      <x:c r="J8" s="26" t="str">
        <x:v>产品名称两侧一致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26" hidden="0" customWidth="1"/>
    <x:col min="5" max="5" width="34" hidden="0" customWidth="1"/>
    <x:col min="6" max="6" width="72" hidden="0" customWidth="1"/>
    <x:col min="7" max="7" width="42" hidden="0" customWidth="1"/>
  </x:cols>
  <x:sheetData>
    <x:row r="1" ht="30" customHeight="1">
      <x:c r="A1" s="3" t="str">
        <x:v>生产产品必校合同/附件清单</x:v>
      </x:c>
      <x:c r="B1" s="3"/>
      <x:c r="C1" s="3"/>
      <x:c r="D1" s="3"/>
      <x:c r="E1" s="3"/>
      <x:c r="F1" s="3"/>
      <x:c r="G1" s="3"/>
    </x:row>
    <x:row r="2">
      <x:c r="A2" s="44" t="str">
        <x:v>仅列 product_detail 中 default_value 明确包含 check=Y 的校验项；不等同于全量线上签署合同套系。</x:v>
      </x:c>
      <x:c r="B2" s="44"/>
      <x:c r="C2" s="44"/>
      <x:c r="D2" s="44"/>
      <x:c r="E2" s="44"/>
      <x:c r="F2" s="44"/>
      <x:c r="G2" s="44"/>
    </x:row>
    <x:row r="3">
      <x:c r="A3" s="42"/>
      <x:c r="B3" s="42"/>
      <x:c r="C3" s="42"/>
      <x:c r="D3" s="42"/>
      <x:c r="E3" s="42"/>
      <x:c r="F3" s="42"/>
      <x:c r="G3" s="42"/>
    </x:row>
    <x:row r="4">
      <x:c r="A4" s="23" t="str">
        <x:v>序号</x:v>
      </x:c>
      <x:c r="B4" s="23" t="str">
        <x:v>业务线</x:v>
      </x:c>
      <x:c r="C4" s="23" t="str">
        <x:v>项目编号</x:v>
      </x:c>
      <x:c r="D4" s="23" t="str">
        <x:v>产品编号</x:v>
      </x:c>
      <x:c r="E4" s="23" t="str">
        <x:v>产品名称</x:v>
      </x:c>
      <x:c r="F4" s="23" t="str">
        <x:v>生产必校合同/附件</x:v>
      </x:c>
      <x:c r="G4" s="23" t="str">
        <x:v>核对说明</x:v>
      </x:c>
    </x:row>
    <x:row r="5">
      <x:c r="A5" s="26" t="n">
        <x:v>1</x:v>
      </x:c>
      <x:c r="B5" s="26" t="str">
        <x:v>消费分期</x:v>
      </x:c>
      <x:c r="C5" s="26" t="str">
        <x:v>TH-PRJ-LYX-A</x:v>
      </x:c>
      <x:c r="D5" s="26" t="str">
        <x:v>TH-PRD-LYX-A001</x:v>
      </x:c>
      <x:c r="E5" s="26" t="str">
        <x:v>鹿优选商品分期-嘉泰</x:v>
      </x:c>
      <x:c r="F5" s="26" t="str">
        <x:v>分期支付协议；保理合同；应收账款转让通知书；委托担保合同；连带责任保证担保确认函（242）</x:v>
      </x:c>
      <x:c r="G5" s="26" t="str">
        <x:v>生产配置明确校验</x:v>
      </x:c>
    </x:row>
    <x:row r="6">
      <x:c r="A6" s="26" t="n">
        <x:v>2</x:v>
      </x:c>
      <x:c r="B6" s="26" t="str">
        <x:v>消费分期</x:v>
      </x:c>
      <x:c r="C6" s="26" t="str">
        <x:v>TH-PRJ-LYX-A</x:v>
      </x:c>
      <x:c r="D6" s="26" t="str">
        <x:v>TH-PRD-LYX-A002</x:v>
      </x:c>
      <x:c r="E6" s="26" t="str">
        <x:v>鹿优选商品分期-嘉泰-固定还款日（8）</x:v>
      </x:c>
      <x:c r="F6" s="26" t="str">
        <x:v>分期支付协议；保理合同；应收账款转让通知书；委托担保合同；连带责任保证担保确认函（242）</x:v>
      </x:c>
      <x:c r="G6" s="26" t="str">
        <x:v>生产配置明确校验</x:v>
      </x:c>
    </x:row>
    <x:row r="7">
      <x:c r="A7" s="26" t="n">
        <x:v>3</x:v>
      </x:c>
      <x:c r="B7" s="26" t="str">
        <x:v>消费分期</x:v>
      </x:c>
      <x:c r="C7" s="26" t="str">
        <x:v>TH-PRJ-ZMYC-A</x:v>
      </x:c>
      <x:c r="D7" s="26" t="str">
        <x:v>TH-PRD-ZMYC-A001</x:v>
      </x:c>
      <x:c r="E7" s="26" t="str">
        <x:v>自牧云创商品分期通汇嘉泰保理</x:v>
      </x:c>
      <x:c r="F7" s="26" t="str">
        <x:v>分期支付协议；保理合同；应收账款转让通知书；委托担保合同；连带责任保证担保确认函（240/241/242）</x:v>
      </x:c>
      <x:c r="G7" s="26" t="str">
        <x:v>生产配置明确校验</x:v>
      </x:c>
    </x:row>
    <x:row r="8">
      <x:c r="A8" s="26" t="n">
        <x:v>4</x:v>
      </x:c>
      <x:c r="B8" s="26" t="str">
        <x:v>消费分期</x:v>
      </x:c>
      <x:c r="C8" s="26" t="str">
        <x:v>TH-PRJ-ZMYC-A</x:v>
      </x:c>
      <x:c r="D8" s="26" t="str">
        <x:v>TH-PRD-ZMYC-A002</x:v>
      </x:c>
      <x:c r="E8" s="26" t="str">
        <x:v>极石商贸商品分期通汇嘉泰保理</x:v>
      </x:c>
      <x:c r="F8" s="26" t="str">
        <x:v>分期支付协议；保理合同；应收账款转让通知书；委托担保合同；连带责任保证担保确认函（240/241/242）</x:v>
      </x:c>
      <x:c r="G8" s="26" t="str">
        <x:v>生产配置明确校验</x:v>
      </x:c>
    </x:row>
    <x:row r="9">
      <x:c r="A9" s="26" t="n">
        <x:v>5</x:v>
      </x:c>
      <x:c r="B9" s="26" t="str">
        <x:v>嘉泰消费分期</x:v>
      </x:c>
      <x:c r="C9" s="26" t="str">
        <x:v>JT_XXT-PRJ-GM-C</x:v>
      </x:c>
      <x:c r="D9" s="26" t="str">
        <x:v>JT_PRD-GM-C001</x:v>
      </x:c>
      <x:c r="E9" s="26" t="str">
        <x:v>给米医美-客户付息（再保理）</x:v>
      </x:c>
      <x:c r="F9" s="26" t="str">
        <x:v>未从当前产品配置匹配到 check=Y 项</x:v>
      </x:c>
      <x:c r="G9" s="26" t="str">
        <x:v>需结合接口文档/合同模板进一步核对，不代表无需合同</x:v>
      </x:c>
    </x:row>
    <x:row r="10">
      <x:c r="A10" s="26" t="n">
        <x:v>6</x:v>
      </x:c>
      <x:c r="B10" s="26" t="str">
        <x:v>嘉泰消费分期</x:v>
      </x:c>
      <x:c r="C10" s="26" t="str">
        <x:v>JT_XXT-PRJ-JK-E</x:v>
      </x:c>
      <x:c r="D10" s="26" t="str">
        <x:v>JT_PRD-JK-E002</x:v>
      </x:c>
      <x:c r="E10" s="26" t="str">
        <x:v>即科医美-客户付息（再保理）</x:v>
      </x:c>
      <x:c r="F10" s="26" t="str">
        <x:v>未从当前产品配置匹配到 check=Y 项</x:v>
      </x:c>
      <x:c r="G10" s="26" t="str">
        <x:v>需结合接口文档/合同模板进一步核对，不代表无需合同</x:v>
      </x:c>
    </x:row>
    <x:row r="11">
      <x:c r="A11" s="26" t="n">
        <x:v>7</x:v>
      </x:c>
      <x:c r="B11" s="26" t="str">
        <x:v>嘉泰消费分期</x:v>
      </x:c>
      <x:c r="C11" s="26" t="str">
        <x:v>JT_XXT-PRJ-JK-E</x:v>
      </x:c>
      <x:c r="D11" s="26" t="str">
        <x:v>JT_PRD-JK-E001</x:v>
      </x:c>
      <x:c r="E11" s="26" t="str">
        <x:v>即科医美-商户贴息（再保理）</x:v>
      </x:c>
      <x:c r="F11" s="26" t="str">
        <x:v>未从当前产品配置匹配到 check=Y 项</x:v>
      </x:c>
      <x:c r="G11" s="26" t="str">
        <x:v>需结合接口文档/合同模板进一步核对，不代表无需合同</x:v>
      </x:c>
    </x:row>
    <x:row r="12">
      <x:c r="A12" s="26" t="n">
        <x:v>8</x:v>
      </x:c>
      <x:c r="B12" s="26" t="str">
        <x:v>嘉泰消费分期</x:v>
      </x:c>
      <x:c r="C12" s="26" t="str">
        <x:v>JT_XXT-PRJ-LYX-A</x:v>
      </x:c>
      <x:c r="D12" s="26" t="str">
        <x:v>JT_PRD-LYX-A001</x:v>
      </x:c>
      <x:c r="E12" s="26" t="str">
        <x:v>鹿优选商品分期</x:v>
      </x:c>
      <x:c r="F12" s="26" t="str">
        <x:v>分期支付协议；保理合同；应收账款转让通知书；连带责任保证担保确认函（242）</x:v>
      </x:c>
      <x:c r="G12" s="26" t="str">
        <x:v>生产配置明确校验</x:v>
      </x:c>
    </x:row>
    <x:row r="13">
      <x:c r="A13" s="26" t="n">
        <x:v>9</x:v>
      </x:c>
      <x:c r="B13" s="26" t="str">
        <x:v>嘉泰消费分期</x:v>
      </x:c>
      <x:c r="C13" s="26" t="str">
        <x:v>JT_XXT-PRJ-LYX-A</x:v>
      </x:c>
      <x:c r="D13" s="26" t="str">
        <x:v>JT_PRD-LYX-A002</x:v>
      </x:c>
      <x:c r="E13" s="26" t="str">
        <x:v>鹿优选商品分期-嘉泰-固定还款日（8）</x:v>
      </x:c>
      <x:c r="F13" s="26" t="str">
        <x:v>分期支付协议；保理合同；应收账款转让通知书；连带责任保证担保确认函（242）</x:v>
      </x:c>
      <x:c r="G13" s="26" t="str">
        <x:v>生产配置明确校验</x:v>
      </x:c>
    </x:row>
    <x:row r="14">
      <x:c r="A14" s="26" t="n">
        <x:v>10</x:v>
      </x:c>
      <x:c r="B14" s="26" t="str">
        <x:v>嘉泰消费分期</x:v>
      </x:c>
      <x:c r="C14" s="26" t="str">
        <x:v>JT_XXT-PRJ-ZG-A</x:v>
      </x:c>
      <x:c r="D14" s="26" t="str">
        <x:v>JT_PRD-ZG-A001</x:v>
      </x:c>
      <x:c r="E14" s="26" t="str">
        <x:v>中公教育-客户付息</x:v>
      </x:c>
      <x:c r="F14" s="26" t="str">
        <x:v>保理合同；连带责任保证担保确认函（240）；退费确认函（1003）；送达地址确认书（970）</x:v>
      </x:c>
      <x:c r="G14" s="26" t="str">
        <x:v>生产配置明确校验</x:v>
      </x:c>
    </x:row>
    <x:row r="15">
      <x:c r="A15" s="26" t="n">
        <x:v>11</x:v>
      </x:c>
      <x:c r="B15" s="26" t="str">
        <x:v>嘉泰消费分期</x:v>
      </x:c>
      <x:c r="C15" s="26" t="str">
        <x:v>JT_XXT-PRJ-ZMY-A</x:v>
      </x:c>
      <x:c r="D15" s="26" t="str">
        <x:v>JT_XXT-PRJ-ZMY-A001</x:v>
      </x:c>
      <x:c r="E15" s="26" t="str">
        <x:v>自牧云创商品分期通汇嘉泰保理</x:v>
      </x:c>
      <x:c r="F15" s="26" t="str">
        <x:v>分期支付协议；保理合同；应收账款转让通知书；委托担保合同；连带责任保证担保确认函（240/241/242）</x:v>
      </x:c>
      <x:c r="G15" s="26" t="str">
        <x:v>生产配置明确校验</x:v>
      </x:c>
    </x:row>
    <x:row r="16">
      <x:c r="A16" s="26" t="n">
        <x:v>12</x:v>
      </x:c>
      <x:c r="B16" s="26" t="str">
        <x:v>嘉泰消费分期</x:v>
      </x:c>
      <x:c r="C16" s="26" t="str">
        <x:v>JT_XXT-PRJ-ZMY-A</x:v>
      </x:c>
      <x:c r="D16" s="26" t="str">
        <x:v>JT_XXT-PRJ-ZMY-A002</x:v>
      </x:c>
      <x:c r="E16" s="26" t="str">
        <x:v>极石商贸商品分期通汇嘉泰保理</x:v>
      </x:c>
      <x:c r="F16" s="26" t="str">
        <x:v>分期支付协议；保理合同；应收账款转让通知书；委托担保合同；连带责任保证担保确认函（240/241/242）</x:v>
      </x:c>
      <x:c r="G16" s="26" t="str">
        <x:v>生产配置明确校验</x:v>
      </x:c>
    </x:row>
  </x:sheetData>
  <x:mergeCells>
    <x:mergeCell ref="A1:G1"/>
    <x:mergeCell ref="A2:G2"/>
  </x:mergeCells>
  <x:conditionalFormatting sqref="F5:F16">
    <x:cfRule type="containsText" dxfId="4" priority="1" operator="containsText" text="未从当前产品配置匹配到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</x:cols>
  <x:sheetData>
    <x:row r="1" ht="30" customHeight="1">
      <x:c r="A1" s="3" t="str">
        <x:v>数据来源、口径与限制</x:v>
      </x:c>
      <x:c r="B1" s="3"/>
      <x:c r="C1" s="3"/>
      <x:c r="D1" s="3"/>
      <x:c r="E1" s="3"/>
      <x:c r="F1" s="3"/>
      <x:c r="G1" s="3"/>
      <x:c r="H1" s="3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23" t="str">
        <x:v>项目</x:v>
      </x:c>
      <x:c r="B3" s="23" t="str">
        <x:v>说明</x:v>
      </x:c>
      <x:c r="C3" s="42"/>
      <x:c r="D3" s="42"/>
      <x:c r="E3" s="42"/>
      <x:c r="F3" s="42"/>
      <x:c r="G3" s="42"/>
      <x:c r="H3" s="42"/>
    </x:row>
    <x:row r="4">
      <x:c r="A4" s="41" t="str">
        <x:v>生成日期</x:v>
      </x:c>
      <x:c r="B4" s="26" t="str">
        <x:v>2026-07-30（Asia/Shanghai）</x:v>
      </x:c>
      <x:c r="C4" s="42"/>
      <x:c r="D4" s="42"/>
      <x:c r="E4" s="42"/>
      <x:c r="F4" s="42"/>
      <x:c r="G4" s="42"/>
      <x:c r="H4" s="42"/>
    </x:row>
    <x:row r="5">
      <x:c r="A5" s="41" t="str">
        <x:v>环境</x:v>
      </x:c>
      <x:c r="B5" s="26" t="str">
        <x:v>生产（PROD）</x:v>
      </x:c>
      <x:c r="C5" s="42"/>
      <x:c r="D5" s="42"/>
      <x:c r="E5" s="42"/>
      <x:c r="F5" s="42"/>
      <x:c r="G5" s="42"/>
      <x:c r="H5" s="42"/>
    </x:row>
    <x:row r="6">
      <x:c r="A6" s="41" t="str">
        <x:v>分支</x:v>
      </x:c>
      <x:c r="B6" s="26" t="str">
        <x:v>master</x:v>
      </x:c>
      <x:c r="C6" s="42"/>
      <x:c r="D6" s="42"/>
      <x:c r="E6" s="42"/>
      <x:c r="F6" s="42"/>
      <x:c r="G6" s="42"/>
      <x:c r="H6" s="42"/>
    </x:row>
    <x:row r="7">
      <x:c r="A7" s="41" t="str">
        <x:v>消费分期上下文</x:v>
      </x:c>
      <x:c r="B7" s="26" t="str">
        <x:v>BL000004｜asset-plateform｜DB target: amp-db-prod｜amp-order master</x:v>
      </x:c>
      <x:c r="C7" s="42"/>
      <x:c r="D7" s="42"/>
      <x:c r="E7" s="42"/>
      <x:c r="F7" s="42"/>
      <x:c r="G7" s="42"/>
      <x:c r="H7" s="42"/>
    </x:row>
    <x:row r="8">
      <x:c r="A8" s="41" t="str">
        <x:v>嘉泰消费分期上下文</x:v>
      </x:c>
      <x:c r="B8" s="26" t="str">
        <x:v>BL000003｜th-jiatai-amp｜DB target: jiatai-amp-db-prod｜jiatai-amp-order master</x:v>
      </x:c>
      <x:c r="C8" s="42"/>
      <x:c r="D8" s="42"/>
      <x:c r="E8" s="42"/>
      <x:c r="F8" s="42"/>
      <x:c r="G8" s="42"/>
      <x:c r="H8" s="42"/>
    </x:row>
    <x:row r="9">
      <x:c r="A9" s="41" t="str">
        <x:v>消费分期 master</x:v>
      </x:c>
      <x:c r="B9" s="26" t="str">
        <x:v>f696b160af8081f9a2090aca35ced64c2d5005af（2026-07-01 17:43:10+08:00）</x:v>
      </x:c>
      <x:c r="C9" s="42"/>
      <x:c r="D9" s="42"/>
      <x:c r="E9" s="42"/>
      <x:c r="F9" s="42"/>
      <x:c r="G9" s="42"/>
      <x:c r="H9" s="42"/>
    </x:row>
    <x:row r="10">
      <x:c r="A10" s="41" t="str">
        <x:v>嘉泰消费分期 master</x:v>
      </x:c>
      <x:c r="B10" s="26" t="str">
        <x:v>e7c50d3abf049b5df4029ca9b1f240bd39741ae6（2026-07-01 17:49:47+08:00）</x:v>
      </x:c>
      <x:c r="C10" s="42"/>
      <x:c r="D10" s="42"/>
      <x:c r="E10" s="42"/>
      <x:c r="F10" s="42"/>
      <x:c r="G10" s="42"/>
      <x:c r="H10" s="42"/>
    </x:row>
    <x:row r="11">
      <x:c r="A11" s="41" t="str">
        <x:v>当前在跑口径</x:v>
      </x:c>
      <x:c r="B11" s="26" t="str">
        <x:v>生产 amp_project.status=1（生效）且 is_delete=0；不以仓库名称或历史经验替代生产配置。</x:v>
      </x:c>
      <x:c r="C11" s="42"/>
      <x:c r="D11" s="42"/>
      <x:c r="E11" s="42"/>
      <x:c r="F11" s="42"/>
      <x:c r="G11" s="42"/>
      <x:c r="H11" s="42"/>
    </x:row>
    <x:row r="12">
      <x:c r="A12" s="41" t="str">
        <x:v>运行证据</x:v>
      </x:c>
      <x:c r="B12" s="26" t="str">
        <x:v>使用 amp_application 统计最近进件时间、近30/90日进件数。近90日无进件项目仍保留，并明确标记。</x:v>
      </x:c>
      <x:c r="C12" s="42"/>
      <x:c r="D12" s="42"/>
      <x:c r="E12" s="42"/>
      <x:c r="F12" s="42"/>
      <x:c r="G12" s="42"/>
      <x:c r="H12" s="42"/>
    </x:row>
    <x:row r="13">
      <x:c r="A13" s="41" t="str">
        <x:v>状态代码</x:v>
      </x:c>
      <x:c r="B13" s="26" t="str">
        <x:v>master 代码注释定义：项目0=新建、1=生效、2=失效；本次只筛选明确的 status=1。</x:v>
      </x:c>
      <x:c r="C13" s="42"/>
      <x:c r="D13" s="42"/>
      <x:c r="E13" s="42"/>
      <x:c r="F13" s="42"/>
      <x:c r="G13" s="42"/>
      <x:c r="H13" s="42"/>
    </x:row>
    <x:row r="14">
      <x:c r="A14" s="41" t="str">
        <x:v>产品模式</x:v>
      </x:c>
      <x:c r="B14" s="26" t="str">
        <x:v>1=商户全额贴息；2=客户付息；3=商户部分贴息（付息）；4=商户部分贴息（贴息）。</x:v>
      </x:c>
      <x:c r="C14" s="42"/>
      <x:c r="D14" s="42"/>
      <x:c r="E14" s="42"/>
      <x:c r="F14" s="42"/>
      <x:c r="G14" s="42"/>
      <x:c r="H14" s="42"/>
    </x:row>
    <x:row r="15">
      <x:c r="A15" s="41" t="str">
        <x:v>还款方式</x:v>
      </x:c>
      <x:c r="B15" s="26" t="str">
        <x:v>2=等额本金；3=等额本息。</x:v>
      </x:c>
      <x:c r="C15" s="42"/>
      <x:c r="D15" s="42"/>
      <x:c r="E15" s="42"/>
      <x:c r="F15" s="42"/>
      <x:c r="G15" s="42"/>
      <x:c r="H15" s="42"/>
    </x:row>
    <x:row r="16">
      <x:c r="A16" s="41" t="str">
        <x:v>主要生产表</x:v>
      </x:c>
      <x:c r="B16" s="26" t="str">
        <x:v>amp_project、amp_product、product_detail、project_config、amp_application、amp_project_funding、amp_project_technical_service、org_*。</x:v>
      </x:c>
      <x:c r="C16" s="42"/>
      <x:c r="D16" s="42"/>
      <x:c r="E16" s="42"/>
      <x:c r="F16" s="42"/>
      <x:c r="G16" s="42"/>
      <x:c r="H16" s="42"/>
    </x:row>
    <x:row r="17">
      <x:c r="A17" s="41" t="str">
        <x:v>参考文件</x:v>
      </x:c>
      <x:c r="B17" s="26" t="str">
        <x:v>申城-诚泰保理项目-付息、贴息产品要素及测算表20260723.xlsx</x:v>
      </x:c>
      <x:c r="C17" s="42"/>
      <x:c r="D17" s="42"/>
      <x:c r="E17" s="42"/>
      <x:c r="F17" s="42"/>
      <x:c r="G17" s="42"/>
      <x:c r="H17" s="42"/>
    </x:row>
    <x:row r="18">
      <x:c r="A18" s="41" t="str">
        <x:v>限制</x:v>
      </x:c>
      <x:c r="B18" s="26" t="str">
        <x:v>本表为配置与运行清单，不重新测算单笔现金流；实际订单费率、金额、期数与合同以订单实例和接口校验结果为准。</x:v>
      </x:c>
      <x:c r="C18" s="42"/>
      <x:c r="D18" s="42"/>
      <x:c r="E18" s="42"/>
      <x:c r="F18" s="42"/>
      <x:c r="G18" s="42"/>
      <x:c r="H18" s="42"/>
    </x:row>
  </x:sheetData>
  <x:mergeCells>
    <x:mergeCell ref="A1:H1"/>
  </x:mergeCells>
  <x:pageMargins left="0.7" right="0.7" top="0.75" bottom="0.75" header="0.3" footer="0.3"/>
</x:worksheet>
</file>