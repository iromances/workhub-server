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aslight/Documents/workspace/IDEAWorkspace/workhub-server/outputs/019fb16e-5fdc-7f10-99f9-d29f532082b9/"/>
    </mc:Choice>
  </mc:AlternateContent>
  <xr:revisionPtr revIDLastSave="0" documentId="13_ncr:1_{FE31EA9C-7137-6542-8495-7250A91688C2}" xr6:coauthVersionLast="47" xr6:coauthVersionMax="47" xr10:uidLastSave="{00000000-0000-0000-0000-000000000000}"/>
  <bookViews>
    <workbookView xWindow="0" yWindow="680" windowWidth="34200" windowHeight="19620" xr2:uid="{00000000-000D-0000-FFFF-FFFF00000000}"/>
  </bookViews>
  <sheets>
    <sheet name="交易明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2" i="1" l="1"/>
  <c r="I42" i="1"/>
  <c r="H42" i="1"/>
  <c r="G42" i="1"/>
  <c r="F42" i="1"/>
  <c r="E42" i="1"/>
  <c r="A42" i="1"/>
  <c r="L41" i="1"/>
  <c r="K41" i="1"/>
  <c r="L40" i="1"/>
  <c r="K40" i="1"/>
  <c r="L39" i="1"/>
  <c r="K39" i="1"/>
  <c r="L38" i="1"/>
  <c r="K38" i="1"/>
  <c r="L37" i="1"/>
  <c r="K37" i="1"/>
  <c r="L36" i="1"/>
  <c r="K36" i="1"/>
  <c r="L35" i="1"/>
  <c r="K35" i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L3" i="1"/>
  <c r="K3" i="1"/>
  <c r="L42" i="1" l="1"/>
  <c r="K42" i="1"/>
</calcChain>
</file>

<file path=xl/sharedStrings.xml><?xml version="1.0" encoding="utf-8"?>
<sst xmlns="http://schemas.openxmlformats.org/spreadsheetml/2006/main" count="130" uniqueCount="83">
  <si>
    <t>嘉泰设备租赁｜2026-07-04 汇浦支付清分明细</t>
  </si>
  <si>
    <t>项目</t>
  </si>
  <si>
    <t>支付订单号</t>
  </si>
  <si>
    <t>客户名</t>
  </si>
  <si>
    <t>交易时间</t>
  </si>
  <si>
    <t>交易金额</t>
  </si>
  <si>
    <t>手续费</t>
  </si>
  <si>
    <t>资方应分账金额</t>
  </si>
  <si>
    <t>资方实际分账金额</t>
  </si>
  <si>
    <t>合作方应分账金额</t>
  </si>
  <si>
    <t>合作方实际分账金额</t>
  </si>
  <si>
    <t>资方承担手续费</t>
  </si>
  <si>
    <t>合作方承担手续费</t>
  </si>
  <si>
    <t>汇浦</t>
  </si>
  <si>
    <t>​5032026070410001000296560</t>
  </si>
  <si>
    <t>陈**</t>
  </si>
  <si>
    <t>​5032026070410002400296564</t>
  </si>
  <si>
    <t>粘**</t>
  </si>
  <si>
    <t>汇浦直连</t>
  </si>
  <si>
    <t>​5032026070410002400296565</t>
  </si>
  <si>
    <t>胡**</t>
  </si>
  <si>
    <t>​5032026070410002500296568</t>
  </si>
  <si>
    <t>黄**</t>
  </si>
  <si>
    <t>​5032026070410002600296569</t>
  </si>
  <si>
    <t>​5032026070410002900296573</t>
  </si>
  <si>
    <t>张**</t>
  </si>
  <si>
    <t>​5032026070410003000296574</t>
  </si>
  <si>
    <t>​5032026070410003100296576</t>
  </si>
  <si>
    <t>刘**</t>
  </si>
  <si>
    <t>​5032026070410003200296577</t>
  </si>
  <si>
    <t>严**</t>
  </si>
  <si>
    <t>​5032026070410003300296578</t>
  </si>
  <si>
    <t>田**</t>
  </si>
  <si>
    <t>​5032026070410003400296579</t>
  </si>
  <si>
    <t>​5032026070410003500296580</t>
  </si>
  <si>
    <t>王**</t>
  </si>
  <si>
    <t>​5032026070410003700296583</t>
  </si>
  <si>
    <t>邱**</t>
  </si>
  <si>
    <t>​5032026070410003800296585</t>
  </si>
  <si>
    <t>蒋**</t>
  </si>
  <si>
    <t>​5032026070410003900296587</t>
  </si>
  <si>
    <t>​5032026070410004000296589</t>
  </si>
  <si>
    <t>李**</t>
  </si>
  <si>
    <t>​5032026070410004100296590</t>
  </si>
  <si>
    <t>朱**</t>
  </si>
  <si>
    <t>​5032026070410004400296592</t>
  </si>
  <si>
    <t>​5032026070410004500296595</t>
  </si>
  <si>
    <t>​5032026070410004600296596</t>
  </si>
  <si>
    <t>罗**</t>
  </si>
  <si>
    <t>​5032026070410004700296597</t>
  </si>
  <si>
    <t>程**</t>
  </si>
  <si>
    <t>​5032026070410004800296598</t>
  </si>
  <si>
    <t>裴**</t>
  </si>
  <si>
    <t>​5032026070410005000296602</t>
  </si>
  <si>
    <t>​5032026070410005000296603</t>
  </si>
  <si>
    <t>​5032026070410005100296605</t>
  </si>
  <si>
    <t>吴**</t>
  </si>
  <si>
    <t>​5032026070410010700296614</t>
  </si>
  <si>
    <t>​5032026070410010800296615</t>
  </si>
  <si>
    <t>唐**</t>
  </si>
  <si>
    <t>​5032026070410015800296661</t>
  </si>
  <si>
    <t>欧**</t>
  </si>
  <si>
    <t>​5032026070411255800296748</t>
  </si>
  <si>
    <t>周**</t>
  </si>
  <si>
    <t>​5032026070414001900296757</t>
  </si>
  <si>
    <t>郭**</t>
  </si>
  <si>
    <t>​5032026070414002000296758</t>
  </si>
  <si>
    <t>​5032026070414014400296816</t>
  </si>
  <si>
    <t>宋**</t>
  </si>
  <si>
    <t>​5032026070414015500296831</t>
  </si>
  <si>
    <t>徐**</t>
  </si>
  <si>
    <t>​5032026070416231500296917</t>
  </si>
  <si>
    <t>赵**</t>
  </si>
  <si>
    <t>​5032026070417003600296935</t>
  </si>
  <si>
    <t>汤**</t>
  </si>
  <si>
    <t>​5032026070417013200296959</t>
  </si>
  <si>
    <t>车**</t>
  </si>
  <si>
    <t>​5032026070417013400296962</t>
  </si>
  <si>
    <t>庞**</t>
  </si>
  <si>
    <t>​5032026070417015500296999</t>
  </si>
  <si>
    <t>谢**</t>
  </si>
  <si>
    <t>​5032026070418000900297066</t>
  </si>
  <si>
    <t>马**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</si>
</sst>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7">
    <font>
      <sz val="11"/>
      <name val="Carlito"/>
    </font>
    <font>
      <b/>
      <sz val="16"/>
      <color rgb="FFFFFFFF"/>
      <name val="Aptos"/>
    </font>
    <font>
      <sz val="11"/>
      <name val="Aptos"/>
    </font>
    <font>
      <b/>
      <sz val="11"/>
      <color rgb="FFFFFFFF"/>
      <name val="Aptos"/>
    </font>
    <font>
      <b/>
      <sz val="11"/>
      <color rgb="FF274E13"/>
      <name val="Aptos"/>
    </font>
    <font>
      <sz val="11"/>
      <name val="Carlito"/>
    </font>
    <font>
      <sz val="9"/>
      <name val="FangSong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DDEBF7"/>
      </patternFill>
    </fill>
    <fill>
      <patternFill patternType="solid">
        <fgColor rgb="FFD9EAD3"/>
      </patternFill>
    </fill>
  </fills>
  <borders count="8">
    <border>
      <left/>
      <right/>
      <top/>
      <bottom/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/>
      <diagonal/>
    </border>
    <border>
      <left/>
      <right/>
      <top style="double">
        <color rgb="FF548235"/>
      </top>
      <bottom style="thin">
        <color rgb="FF548235"/>
      </bottom>
      <diagonal/>
    </border>
  </borders>
  <cellStyleXfs count="2">
    <xf numFmtId="0" fontId="0" fillId="0" borderId="0"/>
    <xf numFmtId="0" fontId="5" fillId="0" borderId="0"/>
  </cellStyleXfs>
  <cellXfs count="23">
    <xf numFmtId="0" fontId="0" fillId="0" borderId="0" xfId="0"/>
    <xf numFmtId="0" fontId="3" fillId="3" borderId="1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2" fillId="4" borderId="4" xfId="1" applyFont="1" applyFill="1" applyBorder="1" applyAlignment="1">
      <alignment vertical="center"/>
    </xf>
    <xf numFmtId="49" fontId="2" fillId="4" borderId="4" xfId="1" applyNumberFormat="1" applyFont="1" applyFill="1" applyBorder="1" applyAlignment="1">
      <alignment vertical="center"/>
    </xf>
    <xf numFmtId="176" fontId="2" fillId="4" borderId="4" xfId="1" applyNumberFormat="1" applyFont="1" applyFill="1" applyBorder="1" applyAlignment="1">
      <alignment vertical="center"/>
    </xf>
    <xf numFmtId="4" fontId="2" fillId="4" borderId="4" xfId="1" applyNumberFormat="1" applyFont="1" applyFill="1" applyBorder="1" applyAlignment="1">
      <alignment horizontal="right"/>
    </xf>
    <xf numFmtId="0" fontId="2" fillId="0" borderId="5" xfId="1" applyFont="1" applyBorder="1" applyAlignment="1">
      <alignment vertical="center"/>
    </xf>
    <xf numFmtId="49" fontId="2" fillId="0" borderId="5" xfId="1" applyNumberFormat="1" applyFont="1" applyBorder="1" applyAlignment="1">
      <alignment vertical="center"/>
    </xf>
    <xf numFmtId="176" fontId="2" fillId="0" borderId="5" xfId="1" applyNumberFormat="1" applyFont="1" applyBorder="1" applyAlignment="1">
      <alignment vertical="center"/>
    </xf>
    <xf numFmtId="4" fontId="2" fillId="0" borderId="5" xfId="1" applyNumberFormat="1" applyFont="1" applyBorder="1" applyAlignment="1">
      <alignment horizontal="right"/>
    </xf>
    <xf numFmtId="0" fontId="2" fillId="4" borderId="5" xfId="1" applyFont="1" applyFill="1" applyBorder="1" applyAlignment="1">
      <alignment vertical="center"/>
    </xf>
    <xf numFmtId="49" fontId="2" fillId="4" borderId="5" xfId="1" applyNumberFormat="1" applyFont="1" applyFill="1" applyBorder="1" applyAlignment="1">
      <alignment vertical="center"/>
    </xf>
    <xf numFmtId="176" fontId="2" fillId="4" borderId="5" xfId="1" applyNumberFormat="1" applyFont="1" applyFill="1" applyBorder="1" applyAlignment="1">
      <alignment vertical="center"/>
    </xf>
    <xf numFmtId="4" fontId="2" fillId="4" borderId="5" xfId="1" applyNumberFormat="1" applyFont="1" applyFill="1" applyBorder="1" applyAlignment="1">
      <alignment horizontal="right"/>
    </xf>
    <xf numFmtId="0" fontId="2" fillId="4" borderId="6" xfId="1" applyFont="1" applyFill="1" applyBorder="1" applyAlignment="1">
      <alignment vertical="center"/>
    </xf>
    <xf numFmtId="49" fontId="2" fillId="4" borderId="6" xfId="1" applyNumberFormat="1" applyFont="1" applyFill="1" applyBorder="1" applyAlignment="1">
      <alignment vertical="center"/>
    </xf>
    <xf numFmtId="176" fontId="2" fillId="4" borderId="6" xfId="1" applyNumberFormat="1" applyFont="1" applyFill="1" applyBorder="1" applyAlignment="1">
      <alignment vertical="center"/>
    </xf>
    <xf numFmtId="4" fontId="2" fillId="4" borderId="6" xfId="1" applyNumberFormat="1" applyFont="1" applyFill="1" applyBorder="1" applyAlignment="1">
      <alignment horizontal="right"/>
    </xf>
    <xf numFmtId="4" fontId="4" fillId="5" borderId="7" xfId="1" applyNumberFormat="1" applyFont="1" applyFill="1" applyBorder="1" applyAlignment="1">
      <alignment horizontal="right" vertical="center"/>
    </xf>
    <xf numFmtId="0" fontId="1" fillId="2" borderId="0" xfId="1" applyFont="1" applyFill="1" applyAlignment="1">
      <alignment horizontal="center" vertical="center"/>
    </xf>
    <xf numFmtId="0" fontId="4" fillId="5" borderId="7" xfId="1" applyFont="1" applyFill="1" applyBorder="1" applyAlignment="1">
      <alignment horizontal="left" vertical="center"/>
    </xf>
  </cellXfs>
  <cellStyles count="2">
    <cellStyle name="Normal" xfId="1" xr:uid="{00000000-0005-0000-0000-000000000000}"/>
    <cellStyle name="常规" xfId="0" builtinId="0"/>
  </cellStyles>
  <dxfs count="2"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9C5700"/>
      </font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"/>
  <sheetViews>
    <sheetView showGridLines="0" tabSelected="1" topLeftCell="A4" workbookViewId="0">
      <selection activeCell="F23" sqref="F23"/>
    </sheetView>
  </sheetViews>
  <sheetFormatPr baseColWidth="10" defaultColWidth="8.83203125" defaultRowHeight="14"/>
  <cols>
    <col min="1" max="1" width="11" customWidth="1"/>
    <col min="2" max="2" width="26" customWidth="1"/>
    <col min="3" max="3" width="10" customWidth="1"/>
    <col min="4" max="4" width="20" customWidth="1"/>
    <col min="5" max="6" width="13" customWidth="1"/>
    <col min="7" max="12" width="17" customWidth="1"/>
  </cols>
  <sheetData>
    <row r="1" spans="1:12" ht="30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34" customHeight="1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3" t="s">
        <v>12</v>
      </c>
    </row>
    <row r="3" spans="1:12" ht="15">
      <c r="A3" s="4" t="s">
        <v>13</v>
      </c>
      <c r="B3" s="5" t="s">
        <v>14</v>
      </c>
      <c r="C3" s="4" t="s">
        <v>15</v>
      </c>
      <c r="D3" s="6">
        <v>46207.41679398148</v>
      </c>
      <c r="E3" s="7">
        <v>1243.28</v>
      </c>
      <c r="F3" s="7">
        <v>2.74</v>
      </c>
      <c r="G3" s="7">
        <v>1041.73</v>
      </c>
      <c r="H3" s="7">
        <v>1041.73</v>
      </c>
      <c r="I3" s="7">
        <v>201.55</v>
      </c>
      <c r="J3" s="7">
        <v>201.55</v>
      </c>
      <c r="K3" s="7">
        <f t="shared" ref="K3:K41" si="0">F3</f>
        <v>2.74</v>
      </c>
      <c r="L3" s="7">
        <f>0</f>
        <v>0</v>
      </c>
    </row>
    <row r="4" spans="1:12" ht="15">
      <c r="A4" s="8" t="s">
        <v>13</v>
      </c>
      <c r="B4" s="9" t="s">
        <v>16</v>
      </c>
      <c r="C4" s="8" t="s">
        <v>17</v>
      </c>
      <c r="D4" s="10">
        <v>46207.416944444441</v>
      </c>
      <c r="E4" s="11">
        <v>1808.4</v>
      </c>
      <c r="F4" s="11">
        <v>3.98</v>
      </c>
      <c r="G4" s="11">
        <v>1515.24</v>
      </c>
      <c r="H4" s="11">
        <v>1515.24</v>
      </c>
      <c r="I4" s="11">
        <v>293.16000000000003</v>
      </c>
      <c r="J4" s="11">
        <v>293.16000000000003</v>
      </c>
      <c r="K4" s="11">
        <f t="shared" si="0"/>
        <v>3.98</v>
      </c>
      <c r="L4" s="11">
        <f>0</f>
        <v>0</v>
      </c>
    </row>
    <row r="5" spans="1:12" ht="15">
      <c r="A5" s="12" t="s">
        <v>18</v>
      </c>
      <c r="B5" s="13" t="s">
        <v>19</v>
      </c>
      <c r="C5" s="12" t="s">
        <v>20</v>
      </c>
      <c r="D5" s="14">
        <v>46207.416956018518</v>
      </c>
      <c r="E5" s="15">
        <v>1770.73</v>
      </c>
      <c r="F5" s="15">
        <v>3.9</v>
      </c>
      <c r="G5" s="15">
        <v>1473.46</v>
      </c>
      <c r="H5" s="15">
        <v>1473.46</v>
      </c>
      <c r="I5" s="15">
        <v>297.27</v>
      </c>
      <c r="J5" s="15">
        <v>297.27</v>
      </c>
      <c r="K5" s="15">
        <f t="shared" si="0"/>
        <v>3.9</v>
      </c>
      <c r="L5" s="15">
        <f>0</f>
        <v>0</v>
      </c>
    </row>
    <row r="6" spans="1:12" ht="15">
      <c r="A6" s="8" t="s">
        <v>18</v>
      </c>
      <c r="B6" s="9" t="s">
        <v>21</v>
      </c>
      <c r="C6" s="8" t="s">
        <v>22</v>
      </c>
      <c r="D6" s="10">
        <v>46207.416967592595</v>
      </c>
      <c r="E6" s="11">
        <v>5178.74</v>
      </c>
      <c r="F6" s="11">
        <v>11.39</v>
      </c>
      <c r="G6" s="11">
        <v>4138.2299999999996</v>
      </c>
      <c r="H6" s="11">
        <v>4138.2299999999996</v>
      </c>
      <c r="I6" s="11">
        <v>1040.51</v>
      </c>
      <c r="J6" s="11">
        <v>1040.51</v>
      </c>
      <c r="K6" s="11">
        <f t="shared" si="0"/>
        <v>11.39</v>
      </c>
      <c r="L6" s="11">
        <f>0</f>
        <v>0</v>
      </c>
    </row>
    <row r="7" spans="1:12" ht="15">
      <c r="A7" s="12" t="s">
        <v>18</v>
      </c>
      <c r="B7" s="13" t="s">
        <v>23</v>
      </c>
      <c r="C7" s="12" t="s">
        <v>22</v>
      </c>
      <c r="D7" s="14">
        <v>46207.416979166665</v>
      </c>
      <c r="E7" s="15">
        <v>1883.75</v>
      </c>
      <c r="F7" s="15">
        <v>4.1399999999999997</v>
      </c>
      <c r="G7" s="15">
        <v>1567.51</v>
      </c>
      <c r="H7" s="15">
        <v>1567.51</v>
      </c>
      <c r="I7" s="15">
        <v>316.24</v>
      </c>
      <c r="J7" s="15">
        <v>316.24</v>
      </c>
      <c r="K7" s="15">
        <f t="shared" si="0"/>
        <v>4.1399999999999997</v>
      </c>
      <c r="L7" s="15">
        <f>0</f>
        <v>0</v>
      </c>
    </row>
    <row r="8" spans="1:12" ht="15">
      <c r="A8" s="8" t="s">
        <v>18</v>
      </c>
      <c r="B8" s="9" t="s">
        <v>24</v>
      </c>
      <c r="C8" s="8" t="s">
        <v>25</v>
      </c>
      <c r="D8" s="10">
        <v>46207.417013888888</v>
      </c>
      <c r="E8" s="11">
        <v>4765.28</v>
      </c>
      <c r="F8" s="11">
        <v>10.48</v>
      </c>
      <c r="G8" s="11">
        <v>4075.53</v>
      </c>
      <c r="H8" s="11">
        <v>4075.53</v>
      </c>
      <c r="I8" s="11">
        <v>689.75</v>
      </c>
      <c r="J8" s="11">
        <v>689.75</v>
      </c>
      <c r="K8" s="11">
        <f t="shared" si="0"/>
        <v>10.48</v>
      </c>
      <c r="L8" s="11">
        <f>0</f>
        <v>0</v>
      </c>
    </row>
    <row r="9" spans="1:12" ht="15">
      <c r="A9" s="12" t="s">
        <v>18</v>
      </c>
      <c r="B9" s="13" t="s">
        <v>26</v>
      </c>
      <c r="C9" s="12" t="s">
        <v>22</v>
      </c>
      <c r="D9" s="14">
        <v>46207.417025462964</v>
      </c>
      <c r="E9" s="15">
        <v>1319.62</v>
      </c>
      <c r="F9" s="15">
        <v>2.9</v>
      </c>
      <c r="G9" s="15">
        <v>1128.6099999999999</v>
      </c>
      <c r="H9" s="15">
        <v>1128.6099999999999</v>
      </c>
      <c r="I9" s="15">
        <v>191.01</v>
      </c>
      <c r="J9" s="15">
        <v>191.01</v>
      </c>
      <c r="K9" s="15">
        <f t="shared" si="0"/>
        <v>2.9</v>
      </c>
      <c r="L9" s="15">
        <f>0</f>
        <v>0</v>
      </c>
    </row>
    <row r="10" spans="1:12" ht="15">
      <c r="A10" s="8" t="s">
        <v>18</v>
      </c>
      <c r="B10" s="9" t="s">
        <v>27</v>
      </c>
      <c r="C10" s="8" t="s">
        <v>28</v>
      </c>
      <c r="D10" s="10">
        <v>46207.417037037034</v>
      </c>
      <c r="E10" s="11">
        <v>1569.31</v>
      </c>
      <c r="F10" s="11">
        <v>3.45</v>
      </c>
      <c r="G10" s="11">
        <v>1254.01</v>
      </c>
      <c r="H10" s="11">
        <v>1254.01</v>
      </c>
      <c r="I10" s="11">
        <v>315.3</v>
      </c>
      <c r="J10" s="11">
        <v>315.3</v>
      </c>
      <c r="K10" s="11">
        <f t="shared" si="0"/>
        <v>3.45</v>
      </c>
      <c r="L10" s="11">
        <f>0</f>
        <v>0</v>
      </c>
    </row>
    <row r="11" spans="1:12" ht="15">
      <c r="A11" s="12" t="s">
        <v>18</v>
      </c>
      <c r="B11" s="13" t="s">
        <v>29</v>
      </c>
      <c r="C11" s="12" t="s">
        <v>30</v>
      </c>
      <c r="D11" s="14">
        <v>46207.417048611111</v>
      </c>
      <c r="E11" s="15">
        <v>1429.58</v>
      </c>
      <c r="F11" s="15">
        <v>3.15</v>
      </c>
      <c r="G11" s="15">
        <v>1222.6600000000001</v>
      </c>
      <c r="H11" s="15">
        <v>1222.6600000000001</v>
      </c>
      <c r="I11" s="15">
        <v>206.92</v>
      </c>
      <c r="J11" s="15">
        <v>206.92</v>
      </c>
      <c r="K11" s="15">
        <f t="shared" si="0"/>
        <v>3.15</v>
      </c>
      <c r="L11" s="15">
        <f>0</f>
        <v>0</v>
      </c>
    </row>
    <row r="12" spans="1:12" ht="15">
      <c r="A12" s="8" t="s">
        <v>18</v>
      </c>
      <c r="B12" s="9" t="s">
        <v>31</v>
      </c>
      <c r="C12" s="8" t="s">
        <v>32</v>
      </c>
      <c r="D12" s="10">
        <v>46207.417060185187</v>
      </c>
      <c r="E12" s="11">
        <v>1172.99</v>
      </c>
      <c r="F12" s="11">
        <v>2.58</v>
      </c>
      <c r="G12" s="11">
        <v>1003.21</v>
      </c>
      <c r="H12" s="11">
        <v>1003.21</v>
      </c>
      <c r="I12" s="11">
        <v>169.78</v>
      </c>
      <c r="J12" s="11">
        <v>169.78</v>
      </c>
      <c r="K12" s="11">
        <f t="shared" si="0"/>
        <v>2.58</v>
      </c>
      <c r="L12" s="11">
        <f>0</f>
        <v>0</v>
      </c>
    </row>
    <row r="13" spans="1:12" ht="15">
      <c r="A13" s="12" t="s">
        <v>18</v>
      </c>
      <c r="B13" s="13" t="s">
        <v>33</v>
      </c>
      <c r="C13" s="12" t="s">
        <v>28</v>
      </c>
      <c r="D13" s="14">
        <v>46207.417060185187</v>
      </c>
      <c r="E13" s="15">
        <v>3277.73</v>
      </c>
      <c r="F13" s="15">
        <v>7.21</v>
      </c>
      <c r="G13" s="15">
        <v>2727.47</v>
      </c>
      <c r="H13" s="15">
        <v>2727.47</v>
      </c>
      <c r="I13" s="15">
        <v>550.26</v>
      </c>
      <c r="J13" s="15">
        <v>550.26</v>
      </c>
      <c r="K13" s="15">
        <f t="shared" si="0"/>
        <v>7.21</v>
      </c>
      <c r="L13" s="15">
        <f>0</f>
        <v>0</v>
      </c>
    </row>
    <row r="14" spans="1:12" ht="15">
      <c r="A14" s="8" t="s">
        <v>18</v>
      </c>
      <c r="B14" s="9" t="s">
        <v>34</v>
      </c>
      <c r="C14" s="8" t="s">
        <v>35</v>
      </c>
      <c r="D14" s="10">
        <v>46207.417071759257</v>
      </c>
      <c r="E14" s="11">
        <v>2785.86</v>
      </c>
      <c r="F14" s="11">
        <v>6.13</v>
      </c>
      <c r="G14" s="11">
        <v>2382.62</v>
      </c>
      <c r="H14" s="11">
        <v>2382.62</v>
      </c>
      <c r="I14" s="11">
        <v>403.24</v>
      </c>
      <c r="J14" s="11">
        <v>403.24</v>
      </c>
      <c r="K14" s="11">
        <f t="shared" si="0"/>
        <v>6.13</v>
      </c>
      <c r="L14" s="11">
        <f>0</f>
        <v>0</v>
      </c>
    </row>
    <row r="15" spans="1:12" ht="15">
      <c r="A15" s="12" t="s">
        <v>18</v>
      </c>
      <c r="B15" s="13" t="s">
        <v>36</v>
      </c>
      <c r="C15" s="12" t="s">
        <v>37</v>
      </c>
      <c r="D15" s="14">
        <v>46207.417094907411</v>
      </c>
      <c r="E15" s="15">
        <v>3452.03</v>
      </c>
      <c r="F15" s="15">
        <v>7.59</v>
      </c>
      <c r="G15" s="15">
        <v>2758.82</v>
      </c>
      <c r="H15" s="15">
        <v>2758.82</v>
      </c>
      <c r="I15" s="15">
        <v>693.21</v>
      </c>
      <c r="J15" s="15">
        <v>693.21</v>
      </c>
      <c r="K15" s="15">
        <f t="shared" si="0"/>
        <v>7.59</v>
      </c>
      <c r="L15" s="15">
        <f>0</f>
        <v>0</v>
      </c>
    </row>
    <row r="16" spans="1:12" ht="15">
      <c r="A16" s="8" t="s">
        <v>13</v>
      </c>
      <c r="B16" s="9" t="s">
        <v>38</v>
      </c>
      <c r="C16" s="8" t="s">
        <v>39</v>
      </c>
      <c r="D16" s="10">
        <v>46207.41710648148</v>
      </c>
      <c r="E16" s="11">
        <v>1318.63</v>
      </c>
      <c r="F16" s="11">
        <v>2.9</v>
      </c>
      <c r="G16" s="11">
        <v>1104.8599999999999</v>
      </c>
      <c r="H16" s="11">
        <v>1104.8599999999999</v>
      </c>
      <c r="I16" s="11">
        <v>213.77</v>
      </c>
      <c r="J16" s="11">
        <v>213.77</v>
      </c>
      <c r="K16" s="11">
        <f t="shared" si="0"/>
        <v>2.9</v>
      </c>
      <c r="L16" s="11">
        <f>0</f>
        <v>0</v>
      </c>
    </row>
    <row r="17" spans="1:12" ht="15">
      <c r="A17" s="12" t="s">
        <v>18</v>
      </c>
      <c r="B17" s="13" t="s">
        <v>40</v>
      </c>
      <c r="C17" s="12" t="s">
        <v>20</v>
      </c>
      <c r="D17" s="14">
        <v>46207.417129629626</v>
      </c>
      <c r="E17" s="15">
        <v>1569.1</v>
      </c>
      <c r="F17" s="15">
        <v>3.45</v>
      </c>
      <c r="G17" s="15">
        <v>1254.01</v>
      </c>
      <c r="H17" s="15">
        <v>1254.01</v>
      </c>
      <c r="I17" s="15">
        <v>315.08999999999997</v>
      </c>
      <c r="J17" s="15">
        <v>315.08999999999997</v>
      </c>
      <c r="K17" s="15">
        <f t="shared" si="0"/>
        <v>3.45</v>
      </c>
      <c r="L17" s="15">
        <f>0</f>
        <v>0</v>
      </c>
    </row>
    <row r="18" spans="1:12" ht="15">
      <c r="A18" s="8" t="s">
        <v>18</v>
      </c>
      <c r="B18" s="9" t="s">
        <v>41</v>
      </c>
      <c r="C18" s="8" t="s">
        <v>42</v>
      </c>
      <c r="D18" s="10">
        <v>46207.417141203703</v>
      </c>
      <c r="E18" s="11">
        <v>1176.83</v>
      </c>
      <c r="F18" s="11">
        <v>2.59</v>
      </c>
      <c r="G18" s="11">
        <v>940.51</v>
      </c>
      <c r="H18" s="11">
        <v>940.51</v>
      </c>
      <c r="I18" s="11">
        <v>236.32</v>
      </c>
      <c r="J18" s="11">
        <v>236.32</v>
      </c>
      <c r="K18" s="11">
        <f t="shared" si="0"/>
        <v>2.59</v>
      </c>
      <c r="L18" s="11">
        <f>0</f>
        <v>0</v>
      </c>
    </row>
    <row r="19" spans="1:12" ht="15">
      <c r="A19" s="12" t="s">
        <v>18</v>
      </c>
      <c r="B19" s="13" t="s">
        <v>43</v>
      </c>
      <c r="C19" s="12" t="s">
        <v>44</v>
      </c>
      <c r="D19" s="14">
        <v>46207.41715277778</v>
      </c>
      <c r="E19" s="15">
        <v>1490.65</v>
      </c>
      <c r="F19" s="15">
        <v>3.28</v>
      </c>
      <c r="G19" s="15">
        <v>1191.31</v>
      </c>
      <c r="H19" s="15">
        <v>1191.31</v>
      </c>
      <c r="I19" s="15">
        <v>299.33999999999997</v>
      </c>
      <c r="J19" s="15">
        <v>299.33999999999997</v>
      </c>
      <c r="K19" s="15">
        <f t="shared" si="0"/>
        <v>3.28</v>
      </c>
      <c r="L19" s="15">
        <f>0</f>
        <v>0</v>
      </c>
    </row>
    <row r="20" spans="1:12" ht="15">
      <c r="A20" s="8" t="s">
        <v>18</v>
      </c>
      <c r="B20" s="9" t="s">
        <v>45</v>
      </c>
      <c r="C20" s="8" t="s">
        <v>37</v>
      </c>
      <c r="D20" s="10">
        <v>46207.417175925926</v>
      </c>
      <c r="E20" s="11">
        <v>3883.53</v>
      </c>
      <c r="F20" s="11">
        <v>8.5399999999999991</v>
      </c>
      <c r="G20" s="11">
        <v>3103.67</v>
      </c>
      <c r="H20" s="11">
        <v>3103.67</v>
      </c>
      <c r="I20" s="11">
        <v>779.86</v>
      </c>
      <c r="J20" s="11">
        <v>779.86</v>
      </c>
      <c r="K20" s="11">
        <f t="shared" si="0"/>
        <v>8.5399999999999991</v>
      </c>
      <c r="L20" s="11">
        <f>0</f>
        <v>0</v>
      </c>
    </row>
    <row r="21" spans="1:12" ht="15">
      <c r="A21" s="12" t="s">
        <v>18</v>
      </c>
      <c r="B21" s="13" t="s">
        <v>46</v>
      </c>
      <c r="C21" s="12" t="s">
        <v>42</v>
      </c>
      <c r="D21" s="14">
        <v>46207.417199074072</v>
      </c>
      <c r="E21" s="15">
        <v>1571.86</v>
      </c>
      <c r="F21" s="15">
        <v>3.46</v>
      </c>
      <c r="G21" s="15">
        <v>1348.06</v>
      </c>
      <c r="H21" s="15">
        <v>1348.06</v>
      </c>
      <c r="I21" s="15">
        <v>223.8</v>
      </c>
      <c r="J21" s="15">
        <v>223.8</v>
      </c>
      <c r="K21" s="15">
        <f t="shared" si="0"/>
        <v>3.46</v>
      </c>
      <c r="L21" s="15">
        <f>0</f>
        <v>0</v>
      </c>
    </row>
    <row r="22" spans="1:12" ht="15">
      <c r="A22" s="8" t="s">
        <v>18</v>
      </c>
      <c r="B22" s="9" t="s">
        <v>47</v>
      </c>
      <c r="C22" s="8" t="s">
        <v>48</v>
      </c>
      <c r="D22" s="10">
        <v>46207.417199074072</v>
      </c>
      <c r="E22" s="11">
        <v>1864.3</v>
      </c>
      <c r="F22" s="11">
        <v>4.0999999999999996</v>
      </c>
      <c r="G22" s="11">
        <v>1598.86</v>
      </c>
      <c r="H22" s="11">
        <v>1598.86</v>
      </c>
      <c r="I22" s="11">
        <v>265.44</v>
      </c>
      <c r="J22" s="11">
        <v>265.44</v>
      </c>
      <c r="K22" s="11">
        <f t="shared" si="0"/>
        <v>4.0999999999999996</v>
      </c>
      <c r="L22" s="11">
        <f>0</f>
        <v>0</v>
      </c>
    </row>
    <row r="23" spans="1:12" ht="15">
      <c r="A23" s="12" t="s">
        <v>18</v>
      </c>
      <c r="B23" s="13" t="s">
        <v>49</v>
      </c>
      <c r="C23" s="12" t="s">
        <v>50</v>
      </c>
      <c r="D23" s="14">
        <v>46207.417210648149</v>
      </c>
      <c r="E23" s="15">
        <v>2079.06</v>
      </c>
      <c r="F23" s="15">
        <v>4.57</v>
      </c>
      <c r="G23" s="15">
        <v>1661.56</v>
      </c>
      <c r="H23" s="15">
        <v>1661.56</v>
      </c>
      <c r="I23" s="15">
        <v>417.5</v>
      </c>
      <c r="J23" s="15">
        <v>417.5</v>
      </c>
      <c r="K23" s="15">
        <f t="shared" si="0"/>
        <v>4.57</v>
      </c>
      <c r="L23" s="15">
        <f>0</f>
        <v>0</v>
      </c>
    </row>
    <row r="24" spans="1:12" ht="15">
      <c r="A24" s="8" t="s">
        <v>18</v>
      </c>
      <c r="B24" s="9" t="s">
        <v>51</v>
      </c>
      <c r="C24" s="8" t="s">
        <v>52</v>
      </c>
      <c r="D24" s="10">
        <v>46207.417222222219</v>
      </c>
      <c r="E24" s="11">
        <v>3618.94</v>
      </c>
      <c r="F24" s="11">
        <v>7.96</v>
      </c>
      <c r="G24" s="11">
        <v>3103.67</v>
      </c>
      <c r="H24" s="11">
        <v>3103.67</v>
      </c>
      <c r="I24" s="11">
        <v>515.27</v>
      </c>
      <c r="J24" s="11">
        <v>515.27</v>
      </c>
      <c r="K24" s="11">
        <f t="shared" si="0"/>
        <v>7.96</v>
      </c>
      <c r="L24" s="11">
        <f>0</f>
        <v>0</v>
      </c>
    </row>
    <row r="25" spans="1:12" ht="15">
      <c r="A25" s="12" t="s">
        <v>13</v>
      </c>
      <c r="B25" s="13" t="s">
        <v>53</v>
      </c>
      <c r="C25" s="12" t="s">
        <v>25</v>
      </c>
      <c r="D25" s="14">
        <v>46207.417245370372</v>
      </c>
      <c r="E25" s="15">
        <v>1770.73</v>
      </c>
      <c r="F25" s="15">
        <v>3.9</v>
      </c>
      <c r="G25" s="15">
        <v>1483.67</v>
      </c>
      <c r="H25" s="15">
        <v>1483.67</v>
      </c>
      <c r="I25" s="15">
        <v>287.06</v>
      </c>
      <c r="J25" s="15">
        <v>287.06</v>
      </c>
      <c r="K25" s="15">
        <f t="shared" si="0"/>
        <v>3.9</v>
      </c>
      <c r="L25" s="15">
        <f>0</f>
        <v>0</v>
      </c>
    </row>
    <row r="26" spans="1:12" ht="15">
      <c r="A26" s="8" t="s">
        <v>18</v>
      </c>
      <c r="B26" s="9" t="s">
        <v>54</v>
      </c>
      <c r="C26" s="8" t="s">
        <v>28</v>
      </c>
      <c r="D26" s="10">
        <v>46207.417256944442</v>
      </c>
      <c r="E26" s="11">
        <v>2314.4299999999998</v>
      </c>
      <c r="F26" s="11">
        <v>5.09</v>
      </c>
      <c r="G26" s="11">
        <v>1849.66</v>
      </c>
      <c r="H26" s="11">
        <v>1849.66</v>
      </c>
      <c r="I26" s="11">
        <v>464.77</v>
      </c>
      <c r="J26" s="11">
        <v>464.77</v>
      </c>
      <c r="K26" s="11">
        <f t="shared" si="0"/>
        <v>5.09</v>
      </c>
      <c r="L26" s="11">
        <f>0</f>
        <v>0</v>
      </c>
    </row>
    <row r="27" spans="1:12" ht="15">
      <c r="A27" s="12" t="s">
        <v>18</v>
      </c>
      <c r="B27" s="13" t="s">
        <v>55</v>
      </c>
      <c r="C27" s="12" t="s">
        <v>56</v>
      </c>
      <c r="D27" s="14">
        <v>46207.417256944442</v>
      </c>
      <c r="E27" s="15">
        <v>2637.25</v>
      </c>
      <c r="F27" s="15">
        <v>5.8</v>
      </c>
      <c r="G27" s="15">
        <v>2194.5100000000002</v>
      </c>
      <c r="H27" s="15">
        <v>2194.5100000000002</v>
      </c>
      <c r="I27" s="15">
        <v>442.74</v>
      </c>
      <c r="J27" s="15">
        <v>442.74</v>
      </c>
      <c r="K27" s="15">
        <f t="shared" si="0"/>
        <v>5.8</v>
      </c>
      <c r="L27" s="15">
        <f>0</f>
        <v>0</v>
      </c>
    </row>
    <row r="28" spans="1:12" ht="15">
      <c r="A28" s="8" t="s">
        <v>13</v>
      </c>
      <c r="B28" s="9" t="s">
        <v>57</v>
      </c>
      <c r="C28" s="8" t="s">
        <v>42</v>
      </c>
      <c r="D28" s="10">
        <v>46207.417442129627</v>
      </c>
      <c r="E28" s="11">
        <v>1569.31</v>
      </c>
      <c r="F28" s="11">
        <v>3.45</v>
      </c>
      <c r="G28" s="11">
        <v>1262.7</v>
      </c>
      <c r="H28" s="11">
        <v>1262.7</v>
      </c>
      <c r="I28" s="11">
        <v>306.61</v>
      </c>
      <c r="J28" s="11">
        <v>306.61</v>
      </c>
      <c r="K28" s="11">
        <f t="shared" si="0"/>
        <v>3.45</v>
      </c>
      <c r="L28" s="11">
        <f>0</f>
        <v>0</v>
      </c>
    </row>
    <row r="29" spans="1:12" ht="15">
      <c r="A29" s="12" t="s">
        <v>13</v>
      </c>
      <c r="B29" s="13" t="s">
        <v>58</v>
      </c>
      <c r="C29" s="12" t="s">
        <v>59</v>
      </c>
      <c r="D29" s="14">
        <v>46207.417453703703</v>
      </c>
      <c r="E29" s="15">
        <v>1921.43</v>
      </c>
      <c r="F29" s="15">
        <v>4.2300000000000004</v>
      </c>
      <c r="G29" s="15">
        <v>1609.94</v>
      </c>
      <c r="H29" s="15">
        <v>1609.94</v>
      </c>
      <c r="I29" s="15">
        <v>311.49</v>
      </c>
      <c r="J29" s="15">
        <v>311.49</v>
      </c>
      <c r="K29" s="15">
        <f t="shared" si="0"/>
        <v>4.2300000000000004</v>
      </c>
      <c r="L29" s="15">
        <f>0</f>
        <v>0</v>
      </c>
    </row>
    <row r="30" spans="1:12" ht="15">
      <c r="A30" s="8" t="s">
        <v>18</v>
      </c>
      <c r="B30" s="9" t="s">
        <v>60</v>
      </c>
      <c r="C30" s="8" t="s">
        <v>61</v>
      </c>
      <c r="D30" s="10">
        <v>46207.418032407404</v>
      </c>
      <c r="E30" s="11">
        <v>5274.51</v>
      </c>
      <c r="F30" s="11">
        <v>11.6</v>
      </c>
      <c r="G30" s="11">
        <v>4389.03</v>
      </c>
      <c r="H30" s="11">
        <v>4389.03</v>
      </c>
      <c r="I30" s="11">
        <v>885.48</v>
      </c>
      <c r="J30" s="11">
        <v>885.48</v>
      </c>
      <c r="K30" s="11">
        <f t="shared" si="0"/>
        <v>11.6</v>
      </c>
      <c r="L30" s="11">
        <f>0</f>
        <v>0</v>
      </c>
    </row>
    <row r="31" spans="1:12" ht="15">
      <c r="A31" s="12" t="s">
        <v>18</v>
      </c>
      <c r="B31" s="13" t="s">
        <v>62</v>
      </c>
      <c r="C31" s="12" t="s">
        <v>63</v>
      </c>
      <c r="D31" s="14">
        <v>46207.476377314815</v>
      </c>
      <c r="E31" s="15">
        <v>1580.08</v>
      </c>
      <c r="F31" s="15">
        <v>3.48</v>
      </c>
      <c r="G31" s="15">
        <v>1261.3699999999999</v>
      </c>
      <c r="H31" s="15">
        <v>1261.3699999999999</v>
      </c>
      <c r="I31" s="15">
        <v>318.70999999999998</v>
      </c>
      <c r="J31" s="15">
        <v>318.70999999999998</v>
      </c>
      <c r="K31" s="15">
        <f t="shared" si="0"/>
        <v>3.48</v>
      </c>
      <c r="L31" s="15">
        <f>0</f>
        <v>0</v>
      </c>
    </row>
    <row r="32" spans="1:12" ht="15">
      <c r="A32" s="8" t="s">
        <v>18</v>
      </c>
      <c r="B32" s="9" t="s">
        <v>64</v>
      </c>
      <c r="C32" s="8" t="s">
        <v>65</v>
      </c>
      <c r="D32" s="10">
        <v>46207.583564814813</v>
      </c>
      <c r="E32" s="11">
        <v>2485.7399999999998</v>
      </c>
      <c r="F32" s="11">
        <v>5.47</v>
      </c>
      <c r="G32" s="11">
        <v>2131.81</v>
      </c>
      <c r="H32" s="11">
        <v>2485.7399999999998</v>
      </c>
      <c r="I32" s="11">
        <v>353.93</v>
      </c>
      <c r="J32" s="11">
        <v>0</v>
      </c>
      <c r="K32" s="11">
        <f t="shared" si="0"/>
        <v>5.47</v>
      </c>
      <c r="L32" s="11">
        <f>0</f>
        <v>0</v>
      </c>
    </row>
    <row r="33" spans="1:12" ht="15">
      <c r="A33" s="12" t="s">
        <v>18</v>
      </c>
      <c r="B33" s="13" t="s">
        <v>66</v>
      </c>
      <c r="C33" s="12" t="s">
        <v>63</v>
      </c>
      <c r="D33" s="14">
        <v>46207.58357638889</v>
      </c>
      <c r="E33" s="15">
        <v>1961.38</v>
      </c>
      <c r="F33" s="15">
        <v>4.32</v>
      </c>
      <c r="G33" s="15">
        <v>1567.51</v>
      </c>
      <c r="H33" s="15">
        <v>1961.38</v>
      </c>
      <c r="I33" s="15">
        <v>393.87</v>
      </c>
      <c r="J33" s="15">
        <v>0</v>
      </c>
      <c r="K33" s="15">
        <f t="shared" si="0"/>
        <v>4.32</v>
      </c>
      <c r="L33" s="15">
        <f>0</f>
        <v>0</v>
      </c>
    </row>
    <row r="34" spans="1:12" ht="15">
      <c r="A34" s="8" t="s">
        <v>18</v>
      </c>
      <c r="B34" s="9" t="s">
        <v>67</v>
      </c>
      <c r="C34" s="8" t="s">
        <v>68</v>
      </c>
      <c r="D34" s="10">
        <v>46207.584548611114</v>
      </c>
      <c r="E34" s="11">
        <v>2109.8000000000002</v>
      </c>
      <c r="F34" s="11">
        <v>4.6399999999999997</v>
      </c>
      <c r="G34" s="11">
        <v>1755.61</v>
      </c>
      <c r="H34" s="11">
        <v>2109.8000000000002</v>
      </c>
      <c r="I34" s="11">
        <v>354.19</v>
      </c>
      <c r="J34" s="11">
        <v>0</v>
      </c>
      <c r="K34" s="11">
        <f t="shared" si="0"/>
        <v>4.6399999999999997</v>
      </c>
      <c r="L34" s="11">
        <f>0</f>
        <v>0</v>
      </c>
    </row>
    <row r="35" spans="1:12" ht="15">
      <c r="A35" s="12" t="s">
        <v>13</v>
      </c>
      <c r="B35" s="13" t="s">
        <v>69</v>
      </c>
      <c r="C35" s="12" t="s">
        <v>70</v>
      </c>
      <c r="D35" s="14">
        <v>46207.584664351853</v>
      </c>
      <c r="E35" s="15">
        <v>10360.64</v>
      </c>
      <c r="F35" s="15">
        <v>22.79</v>
      </c>
      <c r="G35" s="15">
        <v>8681.07</v>
      </c>
      <c r="H35" s="15">
        <v>10360.64</v>
      </c>
      <c r="I35" s="15">
        <v>1679.57</v>
      </c>
      <c r="J35" s="15">
        <v>0</v>
      </c>
      <c r="K35" s="15">
        <f t="shared" si="0"/>
        <v>22.79</v>
      </c>
      <c r="L35" s="15">
        <f>0</f>
        <v>0</v>
      </c>
    </row>
    <row r="36" spans="1:12" ht="15">
      <c r="A36" s="8" t="s">
        <v>13</v>
      </c>
      <c r="B36" s="9" t="s">
        <v>71</v>
      </c>
      <c r="C36" s="8" t="s">
        <v>72</v>
      </c>
      <c r="D36" s="10">
        <v>46207.682812500003</v>
      </c>
      <c r="E36" s="11">
        <v>5688.76</v>
      </c>
      <c r="F36" s="11">
        <v>12.52</v>
      </c>
      <c r="G36" s="11">
        <v>4577.29</v>
      </c>
      <c r="H36" s="11">
        <v>5688.76</v>
      </c>
      <c r="I36" s="11">
        <v>1111.47</v>
      </c>
      <c r="J36" s="11">
        <v>0</v>
      </c>
      <c r="K36" s="11">
        <f t="shared" si="0"/>
        <v>12.52</v>
      </c>
      <c r="L36" s="11">
        <f>0</f>
        <v>0</v>
      </c>
    </row>
    <row r="37" spans="1:12" ht="15">
      <c r="A37" s="12" t="s">
        <v>13</v>
      </c>
      <c r="B37" s="13" t="s">
        <v>73</v>
      </c>
      <c r="C37" s="12" t="s">
        <v>74</v>
      </c>
      <c r="D37" s="14">
        <v>46207.708749999998</v>
      </c>
      <c r="E37" s="15">
        <v>2438.71</v>
      </c>
      <c r="F37" s="15">
        <v>5.37</v>
      </c>
      <c r="G37" s="15">
        <v>1988.75</v>
      </c>
      <c r="H37" s="15">
        <v>2438.71</v>
      </c>
      <c r="I37" s="15">
        <v>449.96</v>
      </c>
      <c r="J37" s="15">
        <v>0</v>
      </c>
      <c r="K37" s="15">
        <f t="shared" si="0"/>
        <v>5.37</v>
      </c>
      <c r="L37" s="15">
        <f>0</f>
        <v>0</v>
      </c>
    </row>
    <row r="38" spans="1:12" ht="15">
      <c r="A38" s="8" t="s">
        <v>13</v>
      </c>
      <c r="B38" s="9" t="s">
        <v>75</v>
      </c>
      <c r="C38" s="8" t="s">
        <v>76</v>
      </c>
      <c r="D38" s="10">
        <v>46207.709398148145</v>
      </c>
      <c r="E38" s="11">
        <v>2762.78</v>
      </c>
      <c r="F38" s="11">
        <v>6.08</v>
      </c>
      <c r="G38" s="11">
        <v>2220.77</v>
      </c>
      <c r="H38" s="11">
        <v>2762.78</v>
      </c>
      <c r="I38" s="11">
        <v>542.01</v>
      </c>
      <c r="J38" s="11">
        <v>0</v>
      </c>
      <c r="K38" s="11">
        <f t="shared" si="0"/>
        <v>6.08</v>
      </c>
      <c r="L38" s="11">
        <f>0</f>
        <v>0</v>
      </c>
    </row>
    <row r="39" spans="1:12" ht="15">
      <c r="A39" s="12" t="s">
        <v>18</v>
      </c>
      <c r="B39" s="13" t="s">
        <v>77</v>
      </c>
      <c r="C39" s="12" t="s">
        <v>78</v>
      </c>
      <c r="D39" s="14">
        <v>46207.709421296298</v>
      </c>
      <c r="E39" s="15">
        <v>1941.62</v>
      </c>
      <c r="F39" s="15">
        <v>4.2699999999999996</v>
      </c>
      <c r="G39" s="15">
        <v>1549.05</v>
      </c>
      <c r="H39" s="15">
        <v>1941.62</v>
      </c>
      <c r="I39" s="15">
        <v>392.57</v>
      </c>
      <c r="J39" s="15">
        <v>0</v>
      </c>
      <c r="K39" s="15">
        <f t="shared" si="0"/>
        <v>4.2699999999999996</v>
      </c>
      <c r="L39" s="15">
        <f>0</f>
        <v>0</v>
      </c>
    </row>
    <row r="40" spans="1:12" ht="15">
      <c r="A40" s="8" t="s">
        <v>18</v>
      </c>
      <c r="B40" s="9" t="s">
        <v>79</v>
      </c>
      <c r="C40" s="8" t="s">
        <v>80</v>
      </c>
      <c r="D40" s="10">
        <v>46207.709675925929</v>
      </c>
      <c r="E40" s="11">
        <v>2884.04</v>
      </c>
      <c r="F40" s="11">
        <v>6.34</v>
      </c>
      <c r="G40" s="11">
        <v>2302</v>
      </c>
      <c r="H40" s="11">
        <v>2884.04</v>
      </c>
      <c r="I40" s="11">
        <v>582.04</v>
      </c>
      <c r="J40" s="11">
        <v>0</v>
      </c>
      <c r="K40" s="11">
        <f t="shared" si="0"/>
        <v>6.34</v>
      </c>
      <c r="L40" s="11">
        <f>0</f>
        <v>0</v>
      </c>
    </row>
    <row r="41" spans="1:12" ht="15">
      <c r="A41" s="16" t="s">
        <v>18</v>
      </c>
      <c r="B41" s="17" t="s">
        <v>81</v>
      </c>
      <c r="C41" s="16" t="s">
        <v>82</v>
      </c>
      <c r="D41" s="18">
        <v>46207.750104166669</v>
      </c>
      <c r="E41" s="19">
        <v>1961.38</v>
      </c>
      <c r="F41" s="19">
        <v>4.32</v>
      </c>
      <c r="G41" s="19">
        <v>1567.51</v>
      </c>
      <c r="H41" s="19">
        <v>1961.38</v>
      </c>
      <c r="I41" s="19">
        <v>393.87</v>
      </c>
      <c r="J41" s="19">
        <v>0</v>
      </c>
      <c r="K41" s="19">
        <f t="shared" si="0"/>
        <v>4.32</v>
      </c>
      <c r="L41" s="19">
        <f>0</f>
        <v>0</v>
      </c>
    </row>
    <row r="42" spans="1:12" ht="24" customHeight="1">
      <c r="A42" s="22" t="str">
        <f>"合计（"&amp;COUNTA(B3:B41)&amp;"笔）"</f>
        <v>合计（39笔）</v>
      </c>
      <c r="B42" s="22"/>
      <c r="C42" s="22"/>
      <c r="D42" s="22"/>
      <c r="E42" s="20">
        <f t="shared" ref="E42:L42" si="1">SUM(E3:E41)</f>
        <v>101892.79000000001</v>
      </c>
      <c r="F42" s="20">
        <f t="shared" si="1"/>
        <v>224.15999999999997</v>
      </c>
      <c r="G42" s="20">
        <f t="shared" si="1"/>
        <v>83987.859999999986</v>
      </c>
      <c r="H42" s="20">
        <f t="shared" si="1"/>
        <v>90241.339999999982</v>
      </c>
      <c r="I42" s="20">
        <f t="shared" si="1"/>
        <v>17904.929999999997</v>
      </c>
      <c r="J42" s="20">
        <f t="shared" si="1"/>
        <v>11651.449999999999</v>
      </c>
      <c r="K42" s="20">
        <f t="shared" si="1"/>
        <v>224.15999999999997</v>
      </c>
      <c r="L42" s="20">
        <f t="shared" si="1"/>
        <v>0</v>
      </c>
    </row>
  </sheetData>
  <mergeCells count="2">
    <mergeCell ref="A1:L1"/>
    <mergeCell ref="A42:D42"/>
  </mergeCells>
  <phoneticPr fontId="6" type="noConversion"/>
  <conditionalFormatting sqref="H3:H41">
    <cfRule type="expression" dxfId="1" priority="1">
      <formula>H3&lt;&gt;G3</formula>
    </cfRule>
  </conditionalFormatting>
  <conditionalFormatting sqref="J3:J41">
    <cfRule type="expression" dxfId="0" priority="2">
      <formula>J3&lt;&gt;I3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交易明细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hao shi</cp:lastModifiedBy>
  <dcterms:modified xsi:type="dcterms:W3CDTF">2026-07-30T05:47:37Z</dcterms:modified>
</cp:coreProperties>
</file>