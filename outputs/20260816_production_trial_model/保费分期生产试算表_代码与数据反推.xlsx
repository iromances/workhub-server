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7e3aa7e8f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摘要" sheetId="1" r:id="Rb87be262b02847bf"/>
    <x:sheet xmlns:r="http://schemas.openxmlformats.org/officeDocument/2006/relationships" name="参数输入" sheetId="2" r:id="R045392535c854bbc"/>
    <x:sheet xmlns:r="http://schemas.openxmlformats.org/officeDocument/2006/relationships" name="车辆输入" sheetId="3" r:id="Rf216dbdf6a9041e1"/>
    <x:sheet xmlns:r="http://schemas.openxmlformats.org/officeDocument/2006/relationships" name="逐车试算" sheetId="4" r:id="R936d5825fd2d48d4"/>
    <x:sheet xmlns:r="http://schemas.openxmlformats.org/officeDocument/2006/relationships" name="还款计划" sheetId="5" r:id="R5d40bb948a0c4bc6"/>
    <x:sheet xmlns:r="http://schemas.openxmlformats.org/officeDocument/2006/relationships" name="生产样本核对" sheetId="6" r:id="R300d4037bb2743f6"/>
    <x:sheet xmlns:r="http://schemas.openxmlformats.org/officeDocument/2006/relationships" name="产品配置" sheetId="7" r:id="R6ab1699239a049cd"/>
    <x:sheet xmlns:r="http://schemas.openxmlformats.org/officeDocument/2006/relationships" name="依据与口径" sheetId="8" r:id="Rc86c31e457714013"/>
  </x:sheets>
</x:workbook>
</file>

<file path=xl/comments1.xml><?xml version="1.0" encoding="utf-8"?>
<x:comments xmlns:x="http://schemas.openxmlformats.org/spreadsheetml/2006/main">
  <x:authors>
    <x:author>tc={4984F097-9F9B-10DE-7D54-4D3BD8172FA1}</x:author>
    <x:author>tc={1341302A-D9F1-5953-2E63-6DFFAFA1E246}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来源：生产只读 scf_self_order.amp_product；当前启用并有近90天试算数据的产品为 PRD-ZY-A001 与 PRD-JBR-A001。采集日期：2026-08-16。</x:t>
        </x:r>
      </x:text>
    </x:comment>
    <x:comment ref="B1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公式来源：SelfOperatedOrderService.preAuditPass/calculateAmount；产品首付比例固化到 ApplicationLoan，再逐车计算，金额按 HALF_UP 保留2位。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tc={7A48DBBA-8A34-21B1-44ED-9D020BD87CC7}</x:author>
    <x:author>tc={B340E357-060A-7A24-6AFA-8875159581D3}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来源：db-prod readonly，scf_self_order.application_loan + application_vehicle；已去除申请号、客户、车架号等标识。</x:t>
        </x:r>
      </x:text>
    </x:comment>
    <x:comment ref="B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来源：db-prod readonly，scf_self_order.loan_trial_repayschedules 主计划(category=1)；生产值仅用于回代核对。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;[Red](0.00%);-"/>
    <x:numFmt numFmtId="201" formatCode="#,##0"/>
    <x:numFmt numFmtId="202" formatCode="yyyy-mm-dd hh:mm:ss"/>
    <x:numFmt numFmtId="203" formatCode="yyyy-mm-dd"/>
    <x:numFmt numFmtId="204" formatCode="#,##0.00;[Red](#,##0.00);-"/>
    <x:numFmt numFmtId="205" formatCode="0.0000%"/>
    <x:numFmt numFmtId="206" formatCode="0.00"/>
  </x:numFmts>
  <x:fonts count="32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color rgb="FF17365D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4"/>
      <x:color rgb="FF006100"/>
      <x:name val="Carlito"/>
    </x:font>
    <x:font>
      <x:b/>
      <x:sz val="11"/>
      <x:color rgb="FF008000"/>
      <x:name val="Carlito"/>
    </x:font>
    <x:font>
      <x:b/>
      <x:sz val="16"/>
      <x:color rgb="FFFFFFFF"/>
      <x:name val="Aptos"/>
    </x:font>
    <x:font>
      <x:sz val="11"/>
      <x:color rgb="FF17365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365D"/>
      <x:name val="Aptos"/>
    </x:font>
    <x:font>
      <x:b/>
      <x:sz val="14"/>
      <x:color rgb="FF006100"/>
      <x:name val="Aptos"/>
    </x:font>
    <x:font>
      <x:b/>
      <x:sz val="11"/>
      <x:color rgb="FF008000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b/>
      <x:sz val="10"/>
      <x:color rgb="FFFFFFFF"/>
      <x:name val="Aptos"/>
    </x:font>
    <x:font>
      <x:sz val="10"/>
      <x:color rgb="FF17365D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006100"/>
      <x:name val="Aptos"/>
    </x:font>
    <x:font>
      <x:b/>
      <x:sz val="10"/>
      <x:color rgb="FF008000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sz val="11"/>
      <x:color rgb="FF000000"/>
      <x:name val="Aptos"/>
    </x:font>
    <x:font>
      <x:b/>
      <x:sz val="11"/>
      <x:name val="Aptos"/>
    </x:font>
    <x:font>
      <x:sz val="10"/>
      <x:color rgb="FF000000"/>
      <x:name val="Aptos"/>
    </x:font>
    <x:font>
      <x:b/>
      <x:sz val="1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</x:fills>
  <x:borders count="7"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bottom style="double">
        <x:color rgb="FF17365D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</x:border>
    <x:border>
      <x:left style="thin">
        <x:color rgb="FFB8C4CE"/>
      </x:left>
      <x:right style="thin">
        <x:color rgb="FFB8C4CE"/>
      </x:right>
    </x:border>
    <x:border>
      <x:left style="thin">
        <x:color rgb="FFB8C4CE"/>
      </x:left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3" borderId="2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203" fontId="6" fillId="3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204" fontId="6" fillId="3" borderId="2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3" xfId="0" applyNumberFormat="1" applyFont="1" applyFill="1" applyBorder="1"/>
    <x:xf numFmtId="204" fontId="8" fillId="6" borderId="3" xfId="0" applyNumberFormat="1" applyFont="1" applyFill="1" applyBorder="1"/>
    <x:xf numFmtId="204" fontId="0" fillId="0" borderId="2" xfId="0" applyNumberFormat="1" applyFont="1" applyFill="1" applyBorder="1" applyAlignment="1">
      <x:alignment vertical="center"/>
    </x:xf>
    <x:xf numFmtId="205" fontId="0" fillId="0" borderId="2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206" fontId="0" fillId="0" borderId="2" xfId="0" applyNumberFormat="1" applyFont="1" applyFill="1" applyBorder="1" applyAlignment="1">
      <x:alignment vertical="center"/>
    </x:xf>
    <x:xf numFmtId="204" fontId="7" fillId="0" borderId="2" xfId="0" applyNumberFormat="1" applyFont="1" applyFill="1" applyBorder="1" applyAlignment="1">
      <x:alignment vertical="center"/>
    </x:xf>
    <x:xf numFmtId="203" fontId="7" fillId="0" borderId="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7" borderId="4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horizontal="center" wrapText="1"/>
    </x:xf>
    <x:xf numFmtId="0" fontId="10" fillId="0" borderId="2" xfId="0" applyNumberFormat="1" applyFont="1" applyFill="1" applyBorder="1" applyAlignment="1">
      <x:alignment vertical="center"/>
    </x:xf>
    <x:xf numFmtId="204" fontId="10" fillId="0" borderId="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4" fillId="5" borderId="0" xfId="0" applyNumberFormat="1" applyFont="1" applyFill="1" applyBorder="1" applyAlignment="1">
      <x:alignment horizontal="left" vertical="center"/>
    </x:xf>
    <x:xf numFmtId="0" fontId="15" fillId="4" borderId="0" xfId="0" applyNumberFormat="1" applyFont="1" applyFill="1" applyBorder="1"/>
    <x:xf numFmtId="0" fontId="16" fillId="7" borderId="4" xfId="0" applyNumberFormat="1" applyFont="1" applyFill="1" applyBorder="1" applyAlignment="1">
      <x:alignment horizontal="center" wrapText="1"/>
    </x:xf>
    <x:xf numFmtId="0" fontId="14" fillId="5" borderId="0" xfId="0" applyNumberFormat="1" applyFont="1" applyFill="1" applyBorder="1"/>
    <x:xf numFmtId="0" fontId="17" fillId="0" borderId="5" xfId="0" applyNumberFormat="1" applyFont="1" applyFill="1" applyBorder="1" applyAlignment="1">
      <x:alignment wrapText="1"/>
    </x:xf>
    <x:xf numFmtId="0" fontId="18" fillId="3" borderId="0" xfId="0" applyNumberFormat="1" applyFont="1" applyFill="1" applyBorder="1"/>
    <x:xf numFmtId="0" fontId="19" fillId="0" borderId="0" xfId="0" applyNumberFormat="1" applyFont="1" applyFill="1" applyBorder="1"/>
    <x:xf numFmtId="0" fontId="13" fillId="0" borderId="6" xfId="0" applyNumberFormat="1" applyFont="1" applyFill="1" applyBorder="1" applyAlignment="1">
      <x:alignment wrapText="1"/>
    </x:xf>
    <x:xf numFmtId="0" fontId="13" fillId="7" borderId="0" xfId="0" applyNumberFormat="1" applyFont="1" applyFill="1" applyBorder="1"/>
    <x:xf numFmtId="0" fontId="14" fillId="8" borderId="0" xfId="0" applyNumberFormat="1" applyFont="1" applyFill="1" applyBorder="1" applyAlignment="1">
      <x:alignment horizontal="left" vertical="center"/>
    </x:xf>
    <x:xf numFmtId="0" fontId="15" fillId="4" borderId="1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wrapText="1"/>
    </x:xf>
    <x:xf numFmtId="0" fontId="13" fillId="0" borderId="2" xfId="0" applyNumberFormat="1" applyFont="1" applyFill="1" applyBorder="1" applyAlignment="1">
      <x:alignment vertical="center"/>
    </x:xf>
    <x:xf numFmtId="204" fontId="17" fillId="0" borderId="2" xfId="0" applyNumberFormat="1" applyFont="1" applyFill="1" applyBorder="1" applyAlignment="1">
      <x:alignment vertical="center"/>
    </x:xf>
    <x:xf numFmtId="0" fontId="20" fillId="2" borderId="0" xfId="0" applyNumberFormat="1" applyFont="1" applyFill="1" applyBorder="1" applyAlignment="1">
      <x:alignment horizontal="left" vertical="center"/>
    </x:xf>
    <x:xf numFmtId="0" fontId="21" fillId="3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/>
    <x:xf numFmtId="0" fontId="20" fillId="5" borderId="0" xfId="0" applyNumberFormat="1" applyFont="1" applyFill="1" applyBorder="1" applyAlignment="1">
      <x:alignment horizontal="left" vertical="center"/>
    </x:xf>
    <x:xf numFmtId="0" fontId="23" fillId="4" borderId="0" xfId="0" applyNumberFormat="1" applyFont="1" applyFill="1" applyBorder="1"/>
    <x:xf numFmtId="0" fontId="24" fillId="7" borderId="4" xfId="0" applyNumberFormat="1" applyFont="1" applyFill="1" applyBorder="1" applyAlignment="1">
      <x:alignment horizontal="center" wrapText="1"/>
    </x:xf>
    <x:xf numFmtId="0" fontId="20" fillId="5" borderId="0" xfId="0" applyNumberFormat="1" applyFont="1" applyFill="1" applyBorder="1"/>
    <x:xf numFmtId="0" fontId="25" fillId="0" borderId="5" xfId="0" applyNumberFormat="1" applyFont="1" applyFill="1" applyBorder="1" applyAlignment="1">
      <x:alignment wrapText="1"/>
    </x:xf>
    <x:xf numFmtId="0" fontId="26" fillId="3" borderId="0" xfId="0" applyNumberFormat="1" applyFont="1" applyFill="1" applyBorder="1"/>
    <x:xf numFmtId="0" fontId="27" fillId="0" borderId="0" xfId="0" applyNumberFormat="1" applyFont="1" applyFill="1" applyBorder="1"/>
    <x:xf numFmtId="0" fontId="22" fillId="0" borderId="6" xfId="0" applyNumberFormat="1" applyFont="1" applyFill="1" applyBorder="1" applyAlignment="1">
      <x:alignment wrapText="1"/>
    </x:xf>
    <x:xf numFmtId="0" fontId="22" fillId="7" borderId="0" xfId="0" applyNumberFormat="1" applyFont="1" applyFill="1" applyBorder="1"/>
    <x:xf numFmtId="0" fontId="20" fillId="8" borderId="0" xfId="0" applyNumberFormat="1" applyFont="1" applyFill="1" applyBorder="1" applyAlignment="1">
      <x:alignment horizontal="left" vertical="center"/>
    </x:xf>
    <x:xf numFmtId="0" fontId="23" fillId="4" borderId="1" xfId="0" applyNumberFormat="1" applyFont="1" applyFill="1" applyBorder="1" applyAlignment="1">
      <x:alignment horizontal="center" vertical="center" wrapText="1"/>
    </x:xf>
    <x:xf numFmtId="0" fontId="21" fillId="9" borderId="0" xfId="0" applyNumberFormat="1" applyFont="1" applyFill="1" applyBorder="1" applyAlignment="1">
      <x:alignment wrapText="1"/>
    </x:xf>
    <x:xf numFmtId="0" fontId="22" fillId="0" borderId="2" xfId="0" applyNumberFormat="1" applyFont="1" applyFill="1" applyBorder="1" applyAlignment="1">
      <x:alignment vertical="center"/>
    </x:xf>
    <x:xf numFmtId="204" fontId="25" fillId="0" borderId="2" xfId="0" applyNumberFormat="1" applyFont="1" applyFill="1" applyBorder="1" applyAlignment="1">
      <x:alignment vertical="center"/>
    </x:xf>
    <x:xf numFmtId="0" fontId="21" fillId="3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/>
    </x:xf>
    <x:xf numFmtId="0" fontId="23" fillId="4" borderId="0" xfId="0" applyNumberFormat="1" applyFont="1" applyFill="1" applyBorder="1" applyAlignment="1">
      <x:alignment vertical="center"/>
    </x:xf>
    <x:xf numFmtId="0" fontId="24" fillId="7" borderId="4" xfId="0" applyNumberFormat="1" applyFont="1" applyFill="1" applyBorder="1" applyAlignment="1">
      <x:alignment horizontal="center" vertical="center" wrapText="1"/>
    </x:xf>
    <x:xf numFmtId="0" fontId="20" fillId="5" borderId="0" xfId="0" applyNumberFormat="1" applyFont="1" applyFill="1" applyBorder="1" applyAlignment="1">
      <x:alignment vertical="center"/>
    </x:xf>
    <x:xf numFmtId="0" fontId="25" fillId="0" borderId="5" xfId="0" applyNumberFormat="1" applyFont="1" applyFill="1" applyBorder="1" applyAlignment="1">
      <x:alignment vertical="center" wrapText="1"/>
    </x:xf>
    <x:xf numFmtId="0" fontId="26" fillId="3" borderId="0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/>
    </x:xf>
    <x:xf numFmtId="0" fontId="22" fillId="0" borderId="6" xfId="0" applyNumberFormat="1" applyFont="1" applyFill="1" applyBorder="1" applyAlignment="1">
      <x:alignment vertical="center" wrapText="1"/>
    </x:xf>
    <x:xf numFmtId="0" fontId="22" fillId="7" borderId="0" xfId="0" applyNumberFormat="1" applyFont="1" applyFill="1" applyBorder="1" applyAlignment="1">
      <x:alignment vertical="center"/>
    </x:xf>
    <x:xf numFmtId="0" fontId="21" fillId="9" borderId="0" xfId="0" applyNumberFormat="1" applyFont="1" applyFill="1" applyBorder="1" applyAlignment="1">
      <x:alignment vertical="center" wrapText="1"/>
    </x:xf>
    <x:xf numFmtId="0" fontId="18" fillId="3" borderId="2" xfId="0" applyNumberFormat="1" applyFont="1" applyFill="1" applyBorder="1" applyAlignment="1">
      <x:alignment vertical="center"/>
    </x:xf>
    <x:xf numFmtId="203" fontId="18" fillId="3" borderId="2" xfId="0" applyNumberFormat="1" applyFont="1" applyFill="1" applyBorder="1" applyAlignment="1">
      <x:alignment vertical="center"/>
    </x:xf>
    <x:xf numFmtId="0" fontId="19" fillId="0" borderId="2" xfId="0" applyNumberFormat="1" applyFont="1" applyFill="1" applyBorder="1" applyAlignment="1">
      <x:alignment vertical="center"/>
    </x:xf>
    <x:xf numFmtId="200" fontId="19" fillId="0" borderId="2" xfId="0" applyNumberFormat="1" applyFont="1" applyFill="1" applyBorder="1" applyAlignment="1">
      <x:alignment vertical="center"/>
    </x:xf>
    <x:xf numFmtId="203" fontId="13" fillId="0" borderId="2" xfId="0" applyNumberFormat="1" applyFont="1" applyFill="1" applyBorder="1" applyAlignment="1">
      <x:alignment vertical="center"/>
    </x:xf>
    <x:xf numFmtId="0" fontId="26" fillId="3" borderId="2" xfId="0" applyNumberFormat="1" applyFont="1" applyFill="1" applyBorder="1" applyAlignment="1">
      <x:alignment vertical="center"/>
    </x:xf>
    <x:xf numFmtId="203" fontId="26" fillId="3" borderId="2" xfId="0" applyNumberFormat="1" applyFont="1" applyFill="1" applyBorder="1" applyAlignment="1">
      <x:alignment vertical="center"/>
    </x:xf>
    <x:xf numFmtId="0" fontId="27" fillId="0" borderId="2" xfId="0" applyNumberFormat="1" applyFont="1" applyFill="1" applyBorder="1" applyAlignment="1">
      <x:alignment vertical="center"/>
    </x:xf>
    <x:xf numFmtId="200" fontId="27" fillId="0" borderId="2" xfId="0" applyNumberFormat="1" applyFont="1" applyFill="1" applyBorder="1" applyAlignment="1">
      <x:alignment vertical="center"/>
    </x:xf>
    <x:xf numFmtId="203" fontId="22" fillId="0" borderId="2" xfId="0" applyNumberFormat="1" applyFont="1" applyFill="1" applyBorder="1" applyAlignment="1">
      <x:alignment vertical="center"/>
    </x:xf>
    <x:xf numFmtId="204" fontId="18" fillId="3" borderId="2" xfId="0" applyNumberFormat="1" applyFont="1" applyFill="1" applyBorder="1" applyAlignment="1">
      <x:alignment vertical="center"/>
    </x:xf>
    <x:xf numFmtId="204" fontId="28" fillId="0" borderId="2" xfId="0" applyNumberFormat="1" applyFont="1" applyFill="1" applyBorder="1" applyAlignment="1">
      <x:alignment vertical="center"/>
    </x:xf>
    <x:xf numFmtId="0" fontId="29" fillId="6" borderId="3" xfId="0" applyNumberFormat="1" applyFont="1" applyFill="1" applyBorder="1"/>
    <x:xf numFmtId="204" fontId="29" fillId="6" borderId="3" xfId="0" applyNumberFormat="1" applyFont="1" applyFill="1" applyBorder="1"/>
    <x:xf numFmtId="204" fontId="26" fillId="3" borderId="2" xfId="0" applyNumberFormat="1" applyFont="1" applyFill="1" applyBorder="1" applyAlignment="1">
      <x:alignment vertical="center"/>
    </x:xf>
    <x:xf numFmtId="204" fontId="30" fillId="0" borderId="2" xfId="0" applyNumberFormat="1" applyFont="1" applyFill="1" applyBorder="1" applyAlignment="1">
      <x:alignment vertical="center"/>
    </x:xf>
    <x:xf numFmtId="0" fontId="31" fillId="6" borderId="3" xfId="0" applyNumberFormat="1" applyFont="1" applyFill="1" applyBorder="1"/>
    <x:xf numFmtId="204" fontId="31" fillId="6" borderId="3" xfId="0" applyNumberFormat="1" applyFont="1" applyFill="1" applyBorder="1"/>
    <x:xf numFmtId="0" fontId="31" fillId="6" borderId="3" xfId="0" applyNumberFormat="1" applyFont="1" applyFill="1" applyBorder="1" applyAlignment="1">
      <x:alignment vertical="center"/>
    </x:xf>
    <x:xf numFmtId="204" fontId="31" fillId="6" borderId="3" xfId="0" applyNumberFormat="1" applyFont="1" applyFill="1" applyBorder="1" applyAlignment="1">
      <x:alignment vertical="center"/>
    </x:xf>
    <x:xf numFmtId="204" fontId="13" fillId="0" borderId="2" xfId="0" applyNumberFormat="1" applyFont="1" applyFill="1" applyBorder="1" applyAlignment="1">
      <x:alignment vertical="center"/>
    </x:xf>
    <x:xf numFmtId="205" fontId="13" fillId="0" borderId="2" xfId="0" applyNumberFormat="1" applyFont="1" applyFill="1" applyBorder="1" applyAlignment="1">
      <x:alignment vertical="center"/>
    </x:xf>
    <x:xf numFmtId="204" fontId="22" fillId="0" borderId="2" xfId="0" applyNumberFormat="1" applyFont="1" applyFill="1" applyBorder="1" applyAlignment="1">
      <x:alignment vertical="center"/>
    </x:xf>
    <x:xf numFmtId="205" fontId="22" fillId="0" borderId="2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horizontal="center"/>
    </x:xf>
    <x:xf numFmtId="0" fontId="16" fillId="7" borderId="0" xfId="0" applyNumberFormat="1" applyFont="1" applyFill="1" applyBorder="1" applyAlignment="1">
      <x:alignment horizontal="center"/>
    </x:xf>
    <x:xf numFmtId="204" fontId="19" fillId="0" borderId="2" xfId="0" applyNumberFormat="1" applyFont="1" applyFill="1" applyBorder="1" applyAlignment="1">
      <x:alignment vertical="center"/>
    </x:xf>
    <x:xf numFmtId="206" fontId="13" fillId="0" borderId="2" xfId="0" applyNumberFormat="1" applyFont="1" applyFill="1" applyBorder="1" applyAlignment="1">
      <x:alignment vertical="center"/>
    </x:xf>
    <x:xf numFmtId="203" fontId="19" fillId="0" borderId="2" xfId="0" applyNumberFormat="1" applyFont="1" applyFill="1" applyBorder="1" applyAlignment="1">
      <x:alignment vertical="center"/>
    </x:xf>
    <x:xf numFmtId="0" fontId="20" fillId="5" borderId="0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204" fontId="27" fillId="0" borderId="2" xfId="0" applyNumberFormat="1" applyFont="1" applyFill="1" applyBorder="1" applyAlignment="1">
      <x:alignment vertical="center"/>
    </x:xf>
    <x:xf numFmtId="206" fontId="22" fillId="0" borderId="2" xfId="0" applyNumberFormat="1" applyFont="1" applyFill="1" applyBorder="1" applyAlignment="1">
      <x:alignment vertical="center"/>
    </x:xf>
    <x:xf numFmtId="203" fontId="27" fillId="0" borderId="2" xfId="0" applyNumberFormat="1" applyFont="1" applyFill="1" applyBorder="1" applyAlignment="1">
      <x:alignment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4" fillId="7" borderId="0" xfId="0" applyNumberFormat="1" applyFont="1" applyFill="1" applyBorder="1" applyAlignment="1">
      <x:alignment horizontal="center" vertical="center"/>
    </x:xf>
    <x:xf numFmtId="0" fontId="28" fillId="0" borderId="2" xfId="0" applyNumberFormat="1" applyFont="1" applyFill="1" applyBorder="1" applyAlignment="1">
      <x:alignment vertical="center"/>
    </x:xf>
    <x:xf numFmtId="200" fontId="28" fillId="0" borderId="2" xfId="0" applyNumberFormat="1" applyFont="1" applyFill="1" applyBorder="1" applyAlignment="1">
      <x:alignment vertical="center"/>
    </x:xf>
    <x:xf numFmtId="201" fontId="28" fillId="0" borderId="2" xfId="0" applyNumberFormat="1" applyFont="1" applyFill="1" applyBorder="1" applyAlignment="1">
      <x:alignment vertical="center"/>
    </x:xf>
    <x:xf numFmtId="202" fontId="28" fillId="0" borderId="2" xfId="0" applyNumberFormat="1" applyFont="1" applyFill="1" applyBorder="1" applyAlignment="1">
      <x:alignment vertical="center"/>
    </x:xf>
    <x:xf numFmtId="0" fontId="30" fillId="0" borderId="2" xfId="0" applyNumberFormat="1" applyFont="1" applyFill="1" applyBorder="1" applyAlignment="1">
      <x:alignment vertical="center"/>
    </x:xf>
    <x:xf numFmtId="200" fontId="30" fillId="0" borderId="2" xfId="0" applyNumberFormat="1" applyFont="1" applyFill="1" applyBorder="1" applyAlignment="1">
      <x:alignment vertical="center"/>
    </x:xf>
    <x:xf numFmtId="201" fontId="30" fillId="0" borderId="2" xfId="0" applyNumberFormat="1" applyFont="1" applyFill="1" applyBorder="1" applyAlignment="1">
      <x:alignment vertical="center"/>
    </x:xf>
    <x:xf numFmtId="202" fontId="30" fillId="0" borderId="2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center" wrapText="1"/>
    </x:xf>
    <x:xf numFmtId="0" fontId="2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color rgb="FFA6A6A6"/>
      </x:font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660f7eaf24dae" /><Relationship Type="http://schemas.openxmlformats.org/officeDocument/2006/relationships/theme" Target="/xl/theme/theme1.xml" Id="R5ee7f9f1aa6e4f26" /><Relationship Type="http://schemas.openxmlformats.org/officeDocument/2006/relationships/sharedStrings" Target="/xl/sharedStrings.xml" Id="R60f702c4dd004233" /><Relationship Type="http://schemas.openxmlformats.org/officeDocument/2006/relationships/worksheet" Target="/xl/worksheets/sheet1.xml" Id="Rb87be262b02847bf" /><Relationship Type="http://schemas.openxmlformats.org/officeDocument/2006/relationships/worksheet" Target="/xl/worksheets/sheet2.xml" Id="R045392535c854bbc" /><Relationship Type="http://schemas.openxmlformats.org/officeDocument/2006/relationships/worksheet" Target="/xl/worksheets/sheet3.xml" Id="Rf216dbdf6a9041e1" /><Relationship Type="http://schemas.openxmlformats.org/officeDocument/2006/relationships/worksheet" Target="/xl/worksheets/sheet4.xml" Id="R936d5825fd2d48d4" /><Relationship Type="http://schemas.openxmlformats.org/officeDocument/2006/relationships/worksheet" Target="/xl/worksheets/sheet5.xml" Id="R5d40bb948a0c4bc6" /><Relationship Type="http://schemas.openxmlformats.org/officeDocument/2006/relationships/worksheet" Target="/xl/worksheets/sheet6.xml" Id="R300d4037bb2743f6" /><Relationship Type="http://schemas.openxmlformats.org/officeDocument/2006/relationships/worksheet" Target="/xl/worksheets/sheet7.xml" Id="R6ab1699239a049cd" /><Relationship Type="http://schemas.openxmlformats.org/officeDocument/2006/relationships/worksheet" Target="/xl/worksheets/sheet8.xml" Id="Rc86c31e457714013" /><Relationship Type="http://schemas.microsoft.com/office/2017/10/relationships/person" Target="/xl/persons/person.xml" Id="R983a8a7d55e246fd" /></Relationships>
</file>

<file path=xl/persons/person.xml><?xml version="1.0" encoding="utf-8"?>
<xltc:personList xmlns:xltc="http://schemas.microsoft.com/office/spreadsheetml/2018/threadedcomments">
  <xltc:person displayName="Codex" id="{A4E71CE3-D34A-48AA-98D3-5BAC5F2F37F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16T13:37:33.03" personId="{A4E71CE3-D34A-48AA-98D3-5BAC5F2F37FE}" id="{4984F097-9F9B-10DE-7D54-4D3BD8172FA1}">
    <xltc:text>来源：生产只读 scf_self_order.amp_product；当前启用并有近90天试算数据的产品为 PRD-ZY-A001 与 PRD-JBR-A001。采集日期：2026-08-16。</xltc:text>
  </xltc:threadedComment>
  <xltc:threadedComment ref="B15" dT="2026-08-16T13:37:33.03" personId="{A4E71CE3-D34A-48AA-98D3-5BAC5F2F37FE}" id="{1341302A-D9F1-5953-2E63-6DFFAFA1E246}">
    <xltc:text>公式来源：SelfOperatedOrderService.preAuditPass/calculateAmount；产品首付比例固化到 ApplicationLoan，再逐车计算，金额按 HALF_UP 保留2位。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6" dT="2026-08-16T13:37:33.03" personId="{A4E71CE3-D34A-48AA-98D3-5BAC5F2F37FE}" id="{7A48DBBA-8A34-21B1-44ED-9D020BD87CC7}">
    <xltc:text>来源：db-prod readonly，scf_self_order.application_loan + application_vehicle；已去除申请号、客户、车架号等标识。</xltc:text>
  </xltc:threadedComment>
  <xltc:threadedComment ref="B18" dT="2026-08-16T13:37:33.03" personId="{A4E71CE3-D34A-48AA-98D3-5BAC5F2F37FE}" id="{B340E357-060A-7A24-6AFA-8875159581D3}">
    <xltc:text>来源：db-prod readonly，scf_self_order.loan_trial_repayschedules 主计划(category=1)；生产值仅用于回代核对。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839fc4a0c9f48e4" /><Relationship Type="http://schemas.openxmlformats.org/officeDocument/2006/relationships/vmlDrawing" Target="/xl/drawings/vmldrawing.vml" Id="R65dac84af4274370" /><Relationship Type="http://schemas.microsoft.com/office/2017/10/relationships/threadedComment" Target="/xl/threadedcomments/threadedcomment.xml" Id="Rffee8654a7bf46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151b1e6ee06b4a07" /><Relationship Type="http://schemas.openxmlformats.org/officeDocument/2006/relationships/vmlDrawing" Target="/xl/drawings/vmldrawing2.vml" Id="R89a40738b3ac4526" /><Relationship Type="http://schemas.microsoft.com/office/2017/10/relationships/threadedComment" Target="/xl/threadedcomments/threadedcomment2.xml" Id="R27c5715c532041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8" hidden="0" customWidth="1"/>
    <x:col min="4" max="4" width="12" hidden="0" customWidth="1"/>
    <x:col min="5" max="5" width="3" hidden="0" customWidth="1"/>
    <x:col min="6" max="6" width="18" hidden="0" customWidth="1"/>
    <x:col min="7" max="7" width="24" hidden="0" customWidth="1"/>
    <x:col min="8" max="8" width="18" hidden="0" customWidth="1"/>
  </x:cols>
  <x:sheetData>
    <x:row r="1" ht="30" customHeight="1">
      <x:c r="A1" s="69" t="str">
        <x:v>保费分期生产试算表（代码与数据反推）</x:v>
      </x:c>
      <x:c r="B1" s="69" t="str">
        <x:v>保费分期生产试算表（代码与数据反推）</x:v>
      </x:c>
      <x:c r="C1" s="69" t="str">
        <x:v>保费分期生产试算表（代码与数据反推）</x:v>
      </x:c>
      <x:c r="D1" s="69" t="str">
        <x:v>保费分期生产试算表（代码与数据反推）</x:v>
      </x:c>
      <x:c r="E1" s="69" t="str">
        <x:v>保费分期生产试算表（代码与数据反推）</x:v>
      </x:c>
      <x:c r="F1" s="69" t="str">
        <x:v>保费分期生产试算表（代码与数据反推）</x:v>
      </x:c>
      <x:c r="G1" s="69" t="str">
        <x:v>保费分期生产试算表（代码与数据反推）</x:v>
      </x:c>
      <x:c r="H1" s="69" t="str">
        <x:v>保费分期生产试算表（代码与数据反推）</x:v>
      </x:c>
    </x:row>
    <x:row r="2">
      <x:c r="A2" s="103" t="str">
        <x:v>适用范围：BL000001 保费分期 / scf / 生产 / master。默认回代自营渠道生产脱敏样本；用户只需调整参数输入与车辆金额。</x:v>
      </x:c>
      <x:c r="B2" s="103"/>
      <x:c r="C2" s="103"/>
      <x:c r="D2" s="103"/>
      <x:c r="E2" s="103"/>
      <x:c r="F2" s="103"/>
      <x:c r="G2" s="103"/>
      <x:c r="H2" s="103"/>
    </x:row>
    <x:row r="3">
      <x:c r="A3" s="104"/>
      <x:c r="B3" s="104"/>
      <x:c r="C3" s="104"/>
      <x:c r="D3" s="104"/>
      <x:c r="E3" s="104"/>
      <x:c r="F3" s="104"/>
      <x:c r="G3" s="104"/>
      <x:c r="H3" s="104"/>
    </x:row>
    <x:row r="4" ht="22" customHeight="1">
      <x:c r="A4" s="89" t="str">
        <x:v>模型状态与使用说明</x:v>
      </x:c>
      <x:c r="B4" s="89" t="str">
        <x:v>模型状态与使用说明</x:v>
      </x:c>
      <x:c r="C4" s="89" t="str">
        <x:v>模型状态与使用说明</x:v>
      </x:c>
      <x:c r="D4" s="89" t="str">
        <x:v>模型状态与使用说明</x:v>
      </x:c>
      <x:c r="E4" s="89" t="str">
        <x:v>模型状态与使用说明</x:v>
      </x:c>
      <x:c r="F4" s="89" t="str">
        <x:v>模型状态与使用说明</x:v>
      </x:c>
      <x:c r="G4" s="89" t="str">
        <x:v>模型状态与使用说明</x:v>
      </x:c>
      <x:c r="H4" s="89" t="str">
        <x:v>模型状态与使用说明</x:v>
      </x:c>
    </x:row>
    <x:row r="5">
      <x:c r="A5" s="105" t="str">
        <x:v>模型状态</x:v>
      </x:c>
      <x:c r="B5" s="106" t="str">
        <x:f>'生产样本核对'!$F$2</x:f>
        <x:v>OK</x:v>
      </x:c>
      <x:c r="C5" s="104"/>
      <x:c r="D5" s="104"/>
      <x:c r="E5" s="104"/>
      <x:c r="F5" s="107" t="str">
        <x:v>颜色图例</x:v>
      </x:c>
      <x:c r="G5" s="104"/>
      <x:c r="H5" s="104"/>
    </x:row>
    <x:row r="6">
      <x:c r="A6" s="105" t="str">
        <x:v>基准产品</x:v>
      </x:c>
      <x:c r="B6" s="108" t="str">
        <x:f>'参数输入'!$B$6</x:f>
        <x:v>PRD-ZY-A001</x:v>
      </x:c>
      <x:c r="C6" s="104"/>
      <x:c r="D6" s="104"/>
      <x:c r="E6" s="104"/>
      <x:c r="F6" s="109" t="str">
        <x:v>蓝字/黄底</x:v>
      </x:c>
      <x:c r="G6" s="104" t="str">
        <x:v>可编辑输入</x:v>
      </x:c>
      <x:c r="H6" s="104"/>
    </x:row>
    <x:row r="7">
      <x:c r="A7" s="105" t="str">
        <x:v>融资口径</x:v>
      </x:c>
      <x:c r="B7" s="108" t="str">
        <x:f>IF('参数输入'!$B$7=1,"仅商业险","全部险种")</x:f>
        <x:v>仅商业险</x:v>
      </x:c>
      <x:c r="C7" s="104"/>
      <x:c r="D7" s="104"/>
      <x:c r="E7" s="104"/>
      <x:c r="F7" s="110" t="str">
        <x:v>绿字</x:v>
      </x:c>
      <x:c r="G7" s="104" t="str">
        <x:v>跨工作表链接</x:v>
      </x:c>
      <x:c r="H7" s="104"/>
    </x:row>
    <x:row r="8">
      <x:c r="A8" s="105" t="str">
        <x:v>使用步骤</x:v>
      </x:c>
      <x:c r="B8" s="111" t="str">
        <x:v>1. 参数输入选择产品/险种/期数；2. 车辆输入录入保费；3. 查看还款计划；4. 生产样本核对必须为OK。</x:v>
      </x:c>
      <x:c r="C8" s="104"/>
      <x:c r="D8" s="104"/>
      <x:c r="E8" s="104"/>
      <x:c r="F8" s="104" t="str">
        <x:v>黑字</x:v>
      </x:c>
      <x:c r="G8" s="104" t="str">
        <x:v>公式或固定来源值</x:v>
      </x:c>
      <x:c r="H8" s="104"/>
    </x:row>
    <x:row r="9">
      <x:c r="A9" s="104"/>
      <x:c r="B9" s="104"/>
      <x:c r="C9" s="104"/>
      <x:c r="D9" s="104"/>
      <x:c r="E9" s="104"/>
      <x:c r="F9" s="112" t="str">
        <x:v>绿色状态</x:v>
      </x:c>
      <x:c r="G9" s="104" t="str">
        <x:v>核对通过</x:v>
      </x:c>
      <x:c r="H9" s="104"/>
    </x:row>
    <x:row r="10" ht="22" customHeight="1">
      <x:c r="A10" s="89" t="str">
        <x:v>核心金额</x:v>
      </x:c>
      <x:c r="B10" s="89" t="str">
        <x:v>核心金额</x:v>
      </x:c>
      <x:c r="C10" s="89" t="str">
        <x:v>核心金额</x:v>
      </x:c>
      <x:c r="D10" s="89" t="str">
        <x:v>核心金额</x:v>
      </x:c>
      <x:c r="E10" s="89" t="str">
        <x:v>核心金额</x:v>
      </x:c>
      <x:c r="F10" s="98" t="str">
        <x:v>红色状态</x:v>
      </x:c>
      <x:c r="G10" s="89" t="str">
        <x:v>需复核</x:v>
      </x:c>
      <x:c r="H10" s="89"/>
    </x:row>
    <x:row r="11">
      <x:c r="A11" s="99" t="str">
        <x:v>指标</x:v>
      </x:c>
      <x:c r="B11" s="99" t="str">
        <x:v>金额</x:v>
      </x:c>
      <x:c r="C11" s="99" t="str">
        <x:v>口径</x:v>
      </x:c>
      <x:c r="D11" s="99" t="str">
        <x:v>检查</x:v>
      </x:c>
      <x:c r="E11" s="104"/>
      <x:c r="F11" s="113" t="str">
        <x:v>重要限制</x:v>
      </x:c>
      <x:c r="G11" s="113" t="str">
        <x:v>多车时系统逐车四舍五入；本表按同一口径逐车计算。资方保理拆分不在本次客户/运营商试算范围。</x:v>
      </x:c>
      <x:c r="H11" s="113"/>
    </x:row>
    <x:row r="12">
      <x:c r="A12" s="101" t="str">
        <x:v>总保费</x:v>
      </x:c>
      <x:c r="B12" s="102" t="n">
        <x:f>'车辆输入'!$B$16+'车辆输入'!$F$16</x:f>
        <x:v>17921.45</x:v>
      </x:c>
      <x:c r="C12" s="101" t="str">
        <x:v>商业险+非商业险</x:v>
      </x:c>
      <x:c r="D12" s="101" t="str">
        <x:f>""</x:f>
      </x:c>
      <x:c r="E12" s="104"/>
      <x:c r="F12" s="104"/>
      <x:c r="G12" s="104"/>
      <x:c r="H12" s="104"/>
    </x:row>
    <x:row r="13">
      <x:c r="A13" s="101" t="str">
        <x:v>首付款</x:v>
      </x:c>
      <x:c r="B13" s="102" t="n">
        <x:f>'车辆输入'!$G$16+'车辆输入'!$H$16</x:f>
        <x:v>1792.15</x:v>
      </x:c>
      <x:c r="C13" s="101" t="str">
        <x:v>商业险首付+非商业险首付</x:v>
      </x:c>
      <x:c r="D13" s="101" t="str">
        <x:f>""</x:f>
      </x:c>
      <x:c r="E13" s="104"/>
      <x:c r="F13" s="104"/>
      <x:c r="G13" s="104"/>
      <x:c r="H13" s="104"/>
    </x:row>
    <x:row r="14">
      <x:c r="A14" s="101" t="str">
        <x:v>渠道服务费</x:v>
      </x:c>
      <x:c r="B14" s="102" t="n">
        <x:f>'车辆输入'!$I$16+'车辆输入'!$J$16</x:f>
        <x:v>0</x:v>
      </x:c>
      <x:c r="C14" s="101" t="str">
        <x:v>按险种金额×渠道费率</x:v>
      </x:c>
      <x:c r="D14" s="101" t="str">
        <x:f>""</x:f>
      </x:c>
      <x:c r="E14" s="104"/>
      <x:c r="F14" s="104"/>
      <x:c r="G14" s="104"/>
      <x:c r="H14" s="104"/>
    </x:row>
    <x:row r="15">
      <x:c r="A15" s="101" t="str">
        <x:v>运营服务费</x:v>
      </x:c>
      <x:c r="B15" s="102" t="n">
        <x:f>'车辆输入'!$K$16+'车辆输入'!$L$16</x:f>
        <x:v>645.17</x:v>
      </x:c>
      <x:c r="C15" s="101" t="str">
        <x:v>按险种金额×运营费率</x:v>
      </x:c>
      <x:c r="D15" s="101" t="str">
        <x:f>""</x:f>
      </x:c>
      <x:c r="E15" s="104"/>
      <x:c r="F15" s="104"/>
      <x:c r="G15" s="104"/>
      <x:c r="H15" s="104"/>
    </x:row>
    <x:row r="16">
      <x:c r="A16" s="101" t="str">
        <x:v>首笔款</x:v>
      </x:c>
      <x:c r="B16" s="102" t="n">
        <x:f>'车辆输入'!$G$16+'车辆输入'!$H$16+'车辆输入'!$I$16+'车辆输入'!$J$16+'车辆输入'!$K$16+'车辆输入'!$L$16+'车辆输入'!$O$16</x:f>
        <x:v>2437.32</x:v>
      </x:c>
      <x:c r="C16" s="101" t="str">
        <x:v>首付款+渠道费+运营费+不融资险种</x:v>
      </x:c>
      <x:c r="D16" s="101" t="str">
        <x:f>""</x:f>
      </x:c>
      <x:c r="E16" s="104"/>
      <x:c r="F16" s="104"/>
      <x:c r="G16" s="104"/>
      <x:c r="H16" s="104"/>
    </x:row>
    <x:row r="17">
      <x:c r="A17" s="101" t="str">
        <x:v>运营商垫资</x:v>
      </x:c>
      <x:c r="B17" s="102" t="n">
        <x:f>'车辆输入'!$M$16+'车辆输入'!$N$16</x:f>
        <x:v>16129.3</x:v>
      </x:c>
      <x:c r="C17" s="101" t="str">
        <x:v>商业险垫资+非商业险垫资</x:v>
      </x:c>
      <x:c r="D17" s="101" t="str">
        <x:f>IF(ABS(B17-'还款计划'!$G$18)&lt;=0.01,"OK","差异")</x:f>
        <x:v>OK</x:v>
      </x:c>
      <x:c r="E17" s="104"/>
      <x:c r="F17" s="104"/>
      <x:c r="G17" s="104"/>
      <x:c r="H17" s="104"/>
    </x:row>
    <x:row r="18">
      <x:c r="A18" s="104"/>
      <x:c r="B18" s="104"/>
      <x:c r="C18" s="104"/>
      <x:c r="D18" s="104"/>
      <x:c r="E18" s="104"/>
      <x:c r="F18" s="104"/>
      <x:c r="G18" s="104"/>
      <x:c r="H18" s="104"/>
    </x:row>
    <x:row r="19" ht="22" customHeight="1">
      <x:c r="A19" s="89" t="str">
        <x:v>还款与现金口径</x:v>
      </x:c>
      <x:c r="B19" s="89" t="str">
        <x:v>还款与现金口径</x:v>
      </x:c>
      <x:c r="C19" s="89" t="str">
        <x:v>还款与现金口径</x:v>
      </x:c>
      <x:c r="D19" s="89" t="str">
        <x:v>还款与现金口径</x:v>
      </x:c>
      <x:c r="E19" s="89" t="str">
        <x:v>还款与现金口径</x:v>
      </x:c>
      <x:c r="F19" s="89" t="str">
        <x:v>还款与现金口径</x:v>
      </x:c>
      <x:c r="G19" s="89" t="str">
        <x:v>还款与现金口径</x:v>
      </x:c>
      <x:c r="H19" s="89" t="str">
        <x:v>还款与现金口径</x:v>
      </x:c>
    </x:row>
    <x:row r="20">
      <x:c r="A20" s="99" t="str">
        <x:v>指标</x:v>
      </x:c>
      <x:c r="B20" s="99" t="str">
        <x:v>金额</x:v>
      </x:c>
      <x:c r="C20" s="99" t="str">
        <x:v>说明</x:v>
      </x:c>
      <x:c r="D20" s="99" t="str">
        <x:v>检查</x:v>
      </x:c>
      <x:c r="E20" s="104"/>
      <x:c r="F20" s="104"/>
      <x:c r="G20" s="104"/>
      <x:c r="H20" s="104"/>
    </x:row>
    <x:row r="21">
      <x:c r="A21" s="101" t="str">
        <x:v>各期客户应还合计</x:v>
      </x:c>
      <x:c r="B21" s="102" t="n">
        <x:f>'还款计划'!$K$18</x:f>
        <x:v>16129.3</x:v>
      </x:c>
      <x:c r="C21" s="101" t="str">
        <x:v>本金+其他分期费用；不重复加服务费分摊</x:v>
      </x:c>
      <x:c r="D21" s="101"/>
      <x:c r="E21" s="104"/>
      <x:c r="F21" s="104"/>
      <x:c r="G21" s="104"/>
      <x:c r="H21" s="104"/>
    </x:row>
    <x:row r="22">
      <x:c r="A22" s="101" t="str">
        <x:v>运营服务费分摊合计</x:v>
      </x:c>
      <x:c r="B22" s="102" t="n">
        <x:f>'还款计划'!$H$18</x:f>
        <x:v>645.17</x:v>
      </x:c>
      <x:c r="C22" s="101" t="str">
        <x:v>账务分摊字段，应与订单运营服务费一致</x:v>
      </x:c>
      <x:c r="D22" s="101" t="str">
        <x:f>IF(ABS(B22-B15)&lt;=0.01,"OK","差异")</x:f>
        <x:v>OK</x:v>
      </x:c>
      <x:c r="E22" s="104"/>
      <x:c r="F22" s="104"/>
      <x:c r="G22" s="104"/>
      <x:c r="H22" s="104"/>
    </x:row>
    <x:row r="23">
      <x:c r="A23" s="101" t="str">
        <x:v>技术服务费分摊合计</x:v>
      </x:c>
      <x:c r="B23" s="102" t="n">
        <x:f>'还款计划'!$I$18</x:f>
        <x:v>80.65</x:v>
      </x:c>
      <x:c r="C23" s="101" t="str">
        <x:v>垫资额×技术服务费率</x:v>
      </x:c>
      <x:c r="D23" s="101" t="str">
        <x:f>IF(ABS(B23-B17*'参数输入'!$B$20)&lt;=0.01,"OK","差异")</x:f>
        <x:v>OK</x:v>
      </x:c>
      <x:c r="E23" s="104"/>
      <x:c r="F23" s="104"/>
      <x:c r="G23" s="104"/>
      <x:c r="H23" s="104"/>
    </x:row>
    <x:row r="24">
      <x:c r="A24" s="101" t="str">
        <x:v>客户总现金支出</x:v>
      </x:c>
      <x:c r="B24" s="102" t="n">
        <x:f>B16+B21</x:f>
        <x:v>18566.62</x:v>
      </x:c>
      <x:c r="C24" s="101" t="str">
        <x:v>首笔款+各期客户应还</x:v>
      </x:c>
      <x:c r="D24" s="101"/>
      <x:c r="E24" s="104"/>
      <x:c r="F24" s="104"/>
      <x:c r="G24" s="104"/>
      <x:c r="H24" s="104"/>
    </x:row>
  </x:sheetData>
  <x:mergeCells>
    <x:mergeCell ref="A1:H1"/>
    <x:mergeCell ref="A2:H2"/>
    <x:mergeCell ref="A4:H4"/>
    <x:mergeCell ref="A10:H10"/>
    <x:mergeCell ref="A19:H19"/>
    <x:mergeCell ref="F5:H5"/>
    <x:mergeCell ref="F11:H11"/>
  </x:mergeCells>
  <x:conditionalFormatting sqref="D12:D17">
    <x:cfRule type="containsText" dxfId="5" priority="1" operator="containsText" text="OK"/>
  </x:conditionalFormatting>
  <x:conditionalFormatting sqref="D21:D24">
    <x:cfRule type="containsText" dxfId="6" priority="2" operator="containsText" text="OK"/>
    <x:cfRule type="containsText" dxfId="7" priority="3" operator="containsText" text="差异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48" hidden="0" customWidth="1"/>
    <x:col min="4" max="4" width="3" hidden="0" customWidth="1"/>
    <x:col min="5" max="5" width="3" hidden="0" customWidth="1"/>
    <x:col min="6" max="6" width="3" hidden="0" customWidth="1"/>
  </x:cols>
  <x:sheetData>
    <x:row r="1" ht="30" customHeight="1">
      <x:c r="A1" s="69" t="str">
        <x:v>保费分期试算参数</x:v>
      </x:c>
      <x:c r="B1" s="69" t="str">
        <x:v>保费分期试算参数</x:v>
      </x:c>
      <x:c r="C1" s="69" t="str">
        <x:v>保费分期试算参数</x:v>
      </x:c>
      <x:c r="D1" s="69" t="str">
        <x:v>保费分期试算参数</x:v>
      </x:c>
      <x:c r="E1" s="69" t="str">
        <x:v>保费分期试算参数</x:v>
      </x:c>
      <x:c r="F1" s="69" t="str">
        <x:v>保费分期试算参数</x:v>
      </x:c>
    </x:row>
    <x:row r="2">
      <x:c r="A2" s="103" t="str">
        <x:v>蓝字为可编辑输入；绿字为跨表链接；黑字为公式。默认值使用一组自营渠道生产脱敏样本。</x:v>
      </x:c>
      <x:c r="B2" s="103"/>
      <x:c r="C2" s="103"/>
      <x:c r="D2" s="103"/>
      <x:c r="E2" s="103"/>
      <x:c r="F2" s="103"/>
    </x:row>
    <x:row r="3">
      <x:c r="A3" s="104"/>
      <x:c r="B3" s="104"/>
      <x:c r="C3" s="104"/>
      <x:c r="D3" s="104"/>
      <x:c r="E3" s="104"/>
      <x:c r="F3" s="104"/>
    </x:row>
    <x:row r="4" ht="22" customHeight="1">
      <x:c r="A4" s="89" t="str">
        <x:v>场景选择</x:v>
      </x:c>
      <x:c r="B4" s="89" t="str">
        <x:v>场景选择</x:v>
      </x:c>
      <x:c r="C4" s="89" t="str">
        <x:v>场景选择</x:v>
      </x:c>
      <x:c r="D4" s="89" t="str">
        <x:v>场景选择</x:v>
      </x:c>
      <x:c r="E4" s="89" t="str">
        <x:v>场景选择</x:v>
      </x:c>
      <x:c r="F4" s="89" t="str">
        <x:v>场景选择</x:v>
      </x:c>
    </x:row>
    <x:row r="5">
      <x:c r="A5" s="99" t="str">
        <x:v>参数</x:v>
      </x:c>
      <x:c r="B5" s="99" t="str">
        <x:v>值</x:v>
      </x:c>
      <x:c r="C5" s="99" t="str">
        <x:v>说明</x:v>
      </x:c>
      <x:c r="D5" s="104"/>
      <x:c r="E5" s="104"/>
      <x:c r="F5" s="104"/>
    </x:row>
    <x:row r="6">
      <x:c r="A6" s="101" t="str">
        <x:v>产品代码</x:v>
      </x:c>
      <x:c r="B6" s="119" t="str">
        <x:v>PRD-ZY-A001</x:v>
      </x:c>
      <x:c r="C6" s="101" t="str">
        <x:v>生产启用产品</x:v>
      </x:c>
      <x:c r="D6" s="104"/>
      <x:c r="E6" s="104"/>
      <x:c r="F6" s="104"/>
    </x:row>
    <x:row r="7">
      <x:c r="A7" s="101" t="str">
        <x:v>融资险种代码</x:v>
      </x:c>
      <x:c r="B7" s="119" t="n">
        <x:v>1</x:v>
      </x:c>
      <x:c r="C7" s="101" t="str">
        <x:v>1=仅商业险；2=全部险种</x:v>
      </x:c>
      <x:c r="D7" s="104"/>
      <x:c r="E7" s="104"/>
      <x:c r="F7" s="104"/>
    </x:row>
    <x:row r="8">
      <x:c r="A8" s="101" t="str">
        <x:v>商业险期数</x:v>
      </x:c>
      <x:c r="B8" s="119" t="n">
        <x:v>9</x:v>
      </x:c>
      <x:c r="C8" s="101" t="str">
        <x:v>生产当前配置支持3/6/9期</x:v>
      </x:c>
      <x:c r="D8" s="104"/>
      <x:c r="E8" s="104"/>
      <x:c r="F8" s="104"/>
    </x:row>
    <x:row r="9">
      <x:c r="A9" s="101" t="str">
        <x:v>非商业险融资期数</x:v>
      </x:c>
      <x:c r="B9" s="119" t="n">
        <x:v>0</x:v>
      </x:c>
      <x:c r="C9" s="101" t="str">
        <x:v>险种代码=2时通常填3</x:v>
      </x:c>
      <x:c r="D9" s="104"/>
      <x:c r="E9" s="104"/>
      <x:c r="F9" s="104"/>
    </x:row>
    <x:row r="10">
      <x:c r="A10" s="101" t="str">
        <x:v>试算日期</x:v>
      </x:c>
      <x:c r="B10" s="120" t="n">
        <x:v>46249</x:v>
      </x:c>
      <x:c r="C10" s="101" t="str">
        <x:v>用于首期还款日规则</x:v>
      </x:c>
      <x:c r="D10" s="104"/>
      <x:c r="E10" s="104"/>
      <x:c r="F10" s="104"/>
    </x:row>
    <x:row r="11">
      <x:c r="A11" s="104"/>
      <x:c r="B11" s="104"/>
      <x:c r="C11" s="104"/>
      <x:c r="D11" s="104"/>
      <x:c r="E11" s="104"/>
      <x:c r="F11" s="104"/>
    </x:row>
    <x:row r="12" ht="22" customHeight="1">
      <x:c r="A12" s="89" t="str">
        <x:v>由生产配置自动带入</x:v>
      </x:c>
      <x:c r="B12" s="89" t="str">
        <x:v>由生产配置自动带入</x:v>
      </x:c>
      <x:c r="C12" s="89" t="str">
        <x:v>由生产配置自动带入</x:v>
      </x:c>
      <x:c r="D12" s="89" t="str">
        <x:v>由生产配置自动带入</x:v>
      </x:c>
      <x:c r="E12" s="89" t="str">
        <x:v>由生产配置自动带入</x:v>
      </x:c>
      <x:c r="F12" s="89" t="str">
        <x:v>由生产配置自动带入</x:v>
      </x:c>
    </x:row>
    <x:row r="13">
      <x:c r="A13" s="99" t="str">
        <x:v>配置项</x:v>
      </x:c>
      <x:c r="B13" s="99" t="str">
        <x:v>值</x:v>
      </x:c>
      <x:c r="C13" s="99" t="str">
        <x:v>口径</x:v>
      </x:c>
      <x:c r="D13" s="104"/>
      <x:c r="E13" s="104"/>
      <x:c r="F13" s="104"/>
    </x:row>
    <x:row r="14">
      <x:c r="A14" s="101" t="str">
        <x:v>还款策略</x:v>
      </x:c>
      <x:c r="B14" s="121" t="str">
        <x:f>IF(COUNTIFS('产品配置'!$B$5:$B$12,$B$6,'产品配置'!$D$5:$D$12,1,'产品配置'!$E$5:$E$12,$B$8)&gt;0,"ZY_Customer","未配置")</x:f>
        <x:v>ZY_Customer</x:v>
      </x:c>
      <x:c r="C14" s="101" t="str">
        <x:v>产品 repaymentPlanCalculation</x:v>
      </x:c>
      <x:c r="D14" s="104"/>
      <x:c r="E14" s="104"/>
      <x:c r="F14" s="104"/>
    </x:row>
    <x:row r="15">
      <x:c r="A15" s="101" t="str">
        <x:v>首付比例</x:v>
      </x:c>
      <x:c r="B15" s="122" t="n">
        <x:f>SUMIFS('产品配置'!$H$5:$H$12,'产品配置'!$B$5:$B$12,$B$6,'产品配置'!$D$5:$D$12,1,'产品配置'!$E$5:$E$12,$B$8)</x:f>
        <x:v>0.1</x:v>
      </x:c>
      <x:c r="C15" s="101" t="str">
        <x:v>产品 customerDownPaymentRatio</x:v>
      </x:c>
      <x:c r="D15" s="104"/>
      <x:c r="E15" s="104"/>
      <x:c r="F15" s="104"/>
    </x:row>
    <x:row r="16">
      <x:c r="A16" s="101" t="str">
        <x:v>商业险渠道服务费率</x:v>
      </x:c>
      <x:c r="B16" s="122" t="n">
        <x:f>SUMIFS('产品配置'!$F$5:$F$12,'产品配置'!$B$5:$B$12,$B$6,'产品配置'!$D$5:$D$12,1,'产品配置'!$E$5:$E$12,$B$8)</x:f>
        <x:v>0</x:v>
      </x:c>
      <x:c r="C16" s="101" t="str">
        <x:v>商业险+商业险期数</x:v>
      </x:c>
      <x:c r="D16" s="104"/>
      <x:c r="E16" s="104"/>
      <x:c r="F16" s="104"/>
    </x:row>
    <x:row r="17">
      <x:c r="A17" s="101" t="str">
        <x:v>商业险运营服务费率</x:v>
      </x:c>
      <x:c r="B17" s="122" t="n">
        <x:f>SUMIFS('产品配置'!$G$5:$G$12,'产品配置'!$B$5:$B$12,$B$6,'产品配置'!$D$5:$D$12,1,'产品配置'!$E$5:$E$12,$B$8)</x:f>
        <x:v>0.036</x:v>
      </x:c>
      <x:c r="C17" s="101" t="str">
        <x:v>商业险+商业险期数</x:v>
      </x:c>
      <x:c r="D17" s="104"/>
      <x:c r="E17" s="104"/>
      <x:c r="F17" s="104"/>
    </x:row>
    <x:row r="18">
      <x:c r="A18" s="101" t="str">
        <x:v>非商业险渠道服务费率</x:v>
      </x:c>
      <x:c r="B18" s="122" t="n">
        <x:f>IF($B$7=2,SUMIFS('产品配置'!$F$5:$F$12,'产品配置'!$B$5:$B$12,$B$6,'产品配置'!$D$5:$D$12,2,'产品配置'!$E$5:$E$12,$B$9),0)</x:f>
        <x:v>0</x:v>
      </x:c>
      <x:c r="C18" s="101" t="str">
        <x:v>非商业险+非商业险期数</x:v>
      </x:c>
      <x:c r="D18" s="104"/>
      <x:c r="E18" s="104"/>
      <x:c r="F18" s="104"/>
    </x:row>
    <x:row r="19">
      <x:c r="A19" s="101" t="str">
        <x:v>非商业险运营服务费率</x:v>
      </x:c>
      <x:c r="B19" s="122" t="n">
        <x:f>IF($B$7=2,SUMIFS('产品配置'!$G$5:$G$12,'产品配置'!$B$5:$B$12,$B$6,'产品配置'!$D$5:$D$12,2,'产品配置'!$E$5:$E$12,$B$9),0)</x:f>
        <x:v>0</x:v>
      </x:c>
      <x:c r="C19" s="101" t="str">
        <x:v>非商业险+非商业险期数</x:v>
      </x:c>
      <x:c r="D19" s="104"/>
      <x:c r="E19" s="104"/>
      <x:c r="F19" s="104"/>
    </x:row>
    <x:row r="20">
      <x:c r="A20" s="101" t="str">
        <x:v>技术服务费率</x:v>
      </x:c>
      <x:c r="B20" s="122" t="n">
        <x:f>SUMIFS('产品配置'!$I$5:$I$12,'产品配置'!$B$5:$B$12,$B$6,'产品配置'!$D$5:$D$12,1,'产品配置'!$E$5:$E$12,$B$8)</x:f>
        <x:v>0.005</x:v>
      </x:c>
      <x:c r="C20" s="101" t="str">
        <x:v>产品 plateformFeeRate</x:v>
      </x:c>
      <x:c r="D20" s="104"/>
      <x:c r="E20" s="104"/>
      <x:c r="F20" s="104"/>
    </x:row>
    <x:row r="21">
      <x:c r="A21" s="104"/>
      <x:c r="B21" s="104"/>
      <x:c r="C21" s="104"/>
      <x:c r="D21" s="104"/>
      <x:c r="E21" s="104"/>
      <x:c r="F21" s="104"/>
    </x:row>
    <x:row r="22" ht="22" customHeight="1">
      <x:c r="A22" s="89" t="str">
        <x:v>还款日派生</x:v>
      </x:c>
      <x:c r="B22" s="89" t="str">
        <x:v>还款日派生</x:v>
      </x:c>
      <x:c r="C22" s="89" t="str">
        <x:v>还款日派生</x:v>
      </x:c>
      <x:c r="D22" s="89" t="str">
        <x:v>还款日派生</x:v>
      </x:c>
      <x:c r="E22" s="89" t="str">
        <x:v>还款日派生</x:v>
      </x:c>
      <x:c r="F22" s="89" t="str">
        <x:v>还款日派生</x:v>
      </x:c>
    </x:row>
    <x:row r="23">
      <x:c r="A23" s="99" t="str">
        <x:v>派生项</x:v>
      </x:c>
      <x:c r="B23" s="99" t="str">
        <x:v>值</x:v>
      </x:c>
      <x:c r="C23" s="99" t="str">
        <x:v>规则</x:v>
      </x:c>
      <x:c r="D23" s="104"/>
      <x:c r="E23" s="104"/>
      <x:c r="F23" s="104"/>
    </x:row>
    <x:row r="24">
      <x:c r="A24" s="101" t="str">
        <x:v>还款日锚点</x:v>
      </x:c>
      <x:c r="B24" s="123" t="n">
        <x:f>IF(DAY($B$10)&lt;=10,DATE(YEAR($B$10),MONTH($B$10)-1,24),IF(DAY($B$10)&lt;=20,DATE(YEAR($B$10),MONTH($B$10),4),DATE(YEAR($B$10),MONTH($B$10),14)))</x:f>
        <x:v>46238</x:v>
      </x:c>
      <x:c r="C24" s="101" t="str">
        <x:v>后续每期在锚点上加期数月份</x:v>
      </x:c>
      <x:c r="D24" s="104"/>
      <x:c r="E24" s="104"/>
      <x:c r="F24" s="104"/>
    </x:row>
    <x:row r="25">
      <x:c r="A25" s="101" t="str">
        <x:v>首期还款日</x:v>
      </x:c>
      <x:c r="B25" s="123" t="n">
        <x:f>EDATE($B$24,1)</x:f>
        <x:v>46269</x:v>
      </x:c>
      <x:c r="C25" s="101" t="str">
        <x:v>EDATE(锚点,1)</x:v>
      </x:c>
      <x:c r="D25" s="104"/>
      <x:c r="E25" s="104"/>
      <x:c r="F25" s="104"/>
    </x:row>
  </x:sheetData>
  <x:mergeCells>
    <x:mergeCell ref="A1:F1"/>
    <x:mergeCell ref="A2:F2"/>
    <x:mergeCell ref="A4:F4"/>
    <x:mergeCell ref="A12:F12"/>
    <x:mergeCell ref="A22:F22"/>
  </x:mergeCells>
  <x:dataValidations count="4">
    <x:dataValidation type="list" sqref="B6">
      <x:formula1>"PRD-ZY-A001,PRD-JBR-A001"</x:formula1>
    </x:dataValidation>
    <x:dataValidation type="list" sqref="B7">
      <x:formula1>"1,2"</x:formula1>
    </x:dataValidation>
    <x:dataValidation type="list" sqref="B8">
      <x:formula1>"3,6,9"</x:formula1>
    </x:dataValidation>
    <x:dataValidation type="list" sqref="B9">
      <x:formula1>"0,3"</x:formula1>
    </x:dataValidation>
  </x:dataValidations>
  <x:pageMargins left="0.7" right="0.7" top="0.75" bottom="0.75" header="0.3" footer="0.3"/>
  <x:legacyDrawing xmlns:r="http://schemas.openxmlformats.org/officeDocument/2006/relationships" r:id="R65dac84af427437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5" hidden="0" customWidth="1"/>
    <x:col min="7" max="7" width="14" hidden="0" customWidth="1"/>
    <x:col min="8" max="8" width="15" hidden="0" customWidth="1"/>
    <x:col min="9" max="9" width="15" hidden="0" customWidth="1"/>
    <x:col min="10" max="10" width="16" hidden="0" customWidth="1"/>
    <x:col min="11" max="11" width="15" hidden="0" customWidth="1"/>
    <x:col min="12" max="12" width="16" hidden="0" customWidth="1"/>
    <x:col min="13" max="13" width="14" hidden="0" customWidth="1"/>
    <x:col min="14" max="14" width="15" hidden="0" customWidth="1"/>
    <x:col min="15" max="15" width="15" hidden="0" customWidth="1"/>
  </x:cols>
  <x:sheetData>
    <x:row r="1" ht="30" customHeight="1">
      <x:c r="A1" s="69" t="str">
        <x:v>车辆输入与订单金额拆分</x:v>
      </x:c>
      <x:c r="B1" s="69" t="str">
        <x:v>车辆输入与订单金额拆分</x:v>
      </x:c>
      <x:c r="C1" s="69" t="str">
        <x:v>车辆输入与订单金额拆分</x:v>
      </x:c>
      <x:c r="D1" s="69" t="str">
        <x:v>车辆输入与订单金额拆分</x:v>
      </x:c>
      <x:c r="E1" s="69" t="str">
        <x:v>车辆输入与订单金额拆分</x:v>
      </x:c>
      <x:c r="F1" s="69" t="str">
        <x:v>车辆输入与订单金额拆分</x:v>
      </x:c>
      <x:c r="G1" s="69" t="str">
        <x:v>车辆输入与订单金额拆分</x:v>
      </x:c>
      <x:c r="H1" s="69" t="str">
        <x:v>车辆输入与订单金额拆分</x:v>
      </x:c>
      <x:c r="I1" s="69" t="str">
        <x:v>车辆输入与订单金额拆分</x:v>
      </x:c>
      <x:c r="J1" s="69" t="str">
        <x:v>车辆输入与订单金额拆分</x:v>
      </x:c>
      <x:c r="K1" s="69" t="str">
        <x:v>车辆输入与订单金额拆分</x:v>
      </x:c>
      <x:c r="L1" s="69" t="str">
        <x:v>车辆输入与订单金额拆分</x:v>
      </x:c>
      <x:c r="M1" s="69" t="str">
        <x:v>车辆输入与订单金额拆分</x:v>
      </x:c>
      <x:c r="N1" s="69" t="str">
        <x:v>车辆输入与订单金额拆分</x:v>
      </x:c>
      <x:c r="O1" s="69" t="str">
        <x:v>车辆输入与订单金额拆分</x:v>
      </x:c>
    </x:row>
    <x:row r="2">
      <x:c r="A2" s="103" t="str">
        <x:v>最多录入10辆车。B:E为金额输入；其余列按 SelfOperatedOrderService.calculateAmount 逐车计算并汇总。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  <x:c r="N2" s="103"/>
      <x:c r="O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</x:row>
    <x:row r="4">
      <x:c r="A4" s="99" t="str">
        <x:v>车辆序号</x:v>
      </x:c>
      <x:c r="B4" s="99" t="str">
        <x:v>商业险</x:v>
      </x:c>
      <x:c r="C4" s="99" t="str">
        <x:v>交强险</x:v>
      </x:c>
      <x:c r="D4" s="99" t="str">
        <x:v>车船税</x:v>
      </x:c>
      <x:c r="E4" s="99" t="str">
        <x:v>附加险</x:v>
      </x:c>
      <x:c r="F4" s="99" t="str">
        <x:v>非商业险合计</x:v>
      </x:c>
      <x:c r="G4" s="99" t="str">
        <x:v>商业险首付</x:v>
      </x:c>
      <x:c r="H4" s="99" t="str">
        <x:v>非商业险首付</x:v>
      </x:c>
      <x:c r="I4" s="99" t="str">
        <x:v>商业险渠道费</x:v>
      </x:c>
      <x:c r="J4" s="99" t="str">
        <x:v>非商业险渠道费</x:v>
      </x:c>
      <x:c r="K4" s="99" t="str">
        <x:v>商业险运营费</x:v>
      </x:c>
      <x:c r="L4" s="99" t="str">
        <x:v>非商业险运营费</x:v>
      </x:c>
      <x:c r="M4" s="99" t="str">
        <x:v>商业险垫资</x:v>
      </x:c>
      <x:c r="N4" s="99" t="str">
        <x:v>非商业险垫资</x:v>
      </x:c>
      <x:c r="O4" s="99" t="str">
        <x:v>首笔其他费用</x:v>
      </x:c>
    </x:row>
    <x:row r="5">
      <x:c r="A5" s="119" t="str">
        <x:v>V01</x:v>
      </x:c>
      <x:c r="B5" s="128" t="n">
        <x:v>17921.45</x:v>
      </x:c>
      <x:c r="C5" s="128" t="n">
        <x:v>0</x:v>
      </x:c>
      <x:c r="D5" s="128" t="n">
        <x:v>0</x:v>
      </x:c>
      <x:c r="E5" s="128" t="n">
        <x:v>0</x:v>
      </x:c>
      <x:c r="F5" s="129" t="n">
        <x:f>ROUND(SUM(C5:E5),2)</x:f>
        <x:v>0</x:v>
      </x:c>
      <x:c r="G5" s="129" t="n">
        <x:f>ROUND(B5*'参数输入'!$B$15,2)</x:f>
        <x:v>1792.15</x:v>
      </x:c>
      <x:c r="H5" s="129" t="n">
        <x:f>IF('参数输入'!$B$7=2,ROUND(F5*'参数输入'!$B$15,2),0)</x:f>
        <x:v>0</x:v>
      </x:c>
      <x:c r="I5" s="129" t="n">
        <x:f>ROUND(B5*'参数输入'!$B$16,2)</x:f>
        <x:v>0</x:v>
      </x:c>
      <x:c r="J5" s="129" t="n">
        <x:f>IF('参数输入'!$B$7=2,ROUND(F5*'参数输入'!$B$18,2),0)</x:f>
        <x:v>0</x:v>
      </x:c>
      <x:c r="K5" s="129" t="n">
        <x:f>ROUND(B5*'参数输入'!$B$17,2)</x:f>
        <x:v>645.17</x:v>
      </x:c>
      <x:c r="L5" s="129" t="n">
        <x:f>IF('参数输入'!$B$7=2,ROUND(F5*'参数输入'!$B$19,2),0)</x:f>
        <x:v>0</x:v>
      </x:c>
      <x:c r="M5" s="129" t="n">
        <x:f>ROUND(B5-G5,2)</x:f>
        <x:v>16129.3</x:v>
      </x:c>
      <x:c r="N5" s="129" t="n">
        <x:f>IF('参数输入'!$B$7=2,ROUND(F5-H5,2),0)</x:f>
        <x:v>0</x:v>
      </x:c>
      <x:c r="O5" s="129" t="n">
        <x:f>IF('参数输入'!$B$7=1,ROUND(F5,2),0)</x:f>
        <x:v>0</x:v>
      </x:c>
    </x:row>
    <x:row r="6">
      <x:c r="A6" s="119" t="str">
        <x:v>V02</x:v>
      </x:c>
      <x:c r="B6" s="128" t="n">
        <x:v>0</x:v>
      </x:c>
      <x:c r="C6" s="128" t="n">
        <x:v>0</x:v>
      </x:c>
      <x:c r="D6" s="128" t="n">
        <x:v>0</x:v>
      </x:c>
      <x:c r="E6" s="128" t="n">
        <x:v>0</x:v>
      </x:c>
      <x:c r="F6" s="129" t="n">
        <x:f>ROUND(SUM(C6:E6),2)</x:f>
        <x:v>0</x:v>
      </x:c>
      <x:c r="G6" s="129" t="n">
        <x:f>ROUND(B6*'参数输入'!$B$15,2)</x:f>
        <x:v>0</x:v>
      </x:c>
      <x:c r="H6" s="129" t="n">
        <x:f>IF('参数输入'!$B$7=2,ROUND(F6*'参数输入'!$B$15,2),0)</x:f>
        <x:v>0</x:v>
      </x:c>
      <x:c r="I6" s="129" t="n">
        <x:f>ROUND(B6*'参数输入'!$B$16,2)</x:f>
        <x:v>0</x:v>
      </x:c>
      <x:c r="J6" s="129" t="n">
        <x:f>IF('参数输入'!$B$7=2,ROUND(F6*'参数输入'!$B$18,2),0)</x:f>
        <x:v>0</x:v>
      </x:c>
      <x:c r="K6" s="129" t="n">
        <x:f>ROUND(B6*'参数输入'!$B$17,2)</x:f>
        <x:v>0</x:v>
      </x:c>
      <x:c r="L6" s="129" t="n">
        <x:f>IF('参数输入'!$B$7=2,ROUND(F6*'参数输入'!$B$19,2),0)</x:f>
        <x:v>0</x:v>
      </x:c>
      <x:c r="M6" s="129" t="n">
        <x:f>ROUND(B6-G6,2)</x:f>
        <x:v>0</x:v>
      </x:c>
      <x:c r="N6" s="129" t="n">
        <x:f>IF('参数输入'!$B$7=2,ROUND(F6-H6,2),0)</x:f>
        <x:v>0</x:v>
      </x:c>
      <x:c r="O6" s="129" t="n">
        <x:f>IF('参数输入'!$B$7=1,ROUND(F6,2),0)</x:f>
        <x:v>0</x:v>
      </x:c>
    </x:row>
    <x:row r="7">
      <x:c r="A7" s="119" t="str">
        <x:v>V03</x:v>
      </x:c>
      <x:c r="B7" s="128" t="n">
        <x:v>0</x:v>
      </x:c>
      <x:c r="C7" s="128" t="n">
        <x:v>0</x:v>
      </x:c>
      <x:c r="D7" s="128" t="n">
        <x:v>0</x:v>
      </x:c>
      <x:c r="E7" s="128" t="n">
        <x:v>0</x:v>
      </x:c>
      <x:c r="F7" s="129" t="n">
        <x:f>ROUND(SUM(C7:E7),2)</x:f>
        <x:v>0</x:v>
      </x:c>
      <x:c r="G7" s="129" t="n">
        <x:f>ROUND(B7*'参数输入'!$B$15,2)</x:f>
        <x:v>0</x:v>
      </x:c>
      <x:c r="H7" s="129" t="n">
        <x:f>IF('参数输入'!$B$7=2,ROUND(F7*'参数输入'!$B$15,2),0)</x:f>
        <x:v>0</x:v>
      </x:c>
      <x:c r="I7" s="129" t="n">
        <x:f>ROUND(B7*'参数输入'!$B$16,2)</x:f>
        <x:v>0</x:v>
      </x:c>
      <x:c r="J7" s="129" t="n">
        <x:f>IF('参数输入'!$B$7=2,ROUND(F7*'参数输入'!$B$18,2),0)</x:f>
        <x:v>0</x:v>
      </x:c>
      <x:c r="K7" s="129" t="n">
        <x:f>ROUND(B7*'参数输入'!$B$17,2)</x:f>
        <x:v>0</x:v>
      </x:c>
      <x:c r="L7" s="129" t="n">
        <x:f>IF('参数输入'!$B$7=2,ROUND(F7*'参数输入'!$B$19,2),0)</x:f>
        <x:v>0</x:v>
      </x:c>
      <x:c r="M7" s="129" t="n">
        <x:f>ROUND(B7-G7,2)</x:f>
        <x:v>0</x:v>
      </x:c>
      <x:c r="N7" s="129" t="n">
        <x:f>IF('参数输入'!$B$7=2,ROUND(F7-H7,2),0)</x:f>
        <x:v>0</x:v>
      </x:c>
      <x:c r="O7" s="129" t="n">
        <x:f>IF('参数输入'!$B$7=1,ROUND(F7,2),0)</x:f>
        <x:v>0</x:v>
      </x:c>
    </x:row>
    <x:row r="8">
      <x:c r="A8" s="119" t="str">
        <x:v>V04</x:v>
      </x:c>
      <x:c r="B8" s="128" t="n">
        <x:v>0</x:v>
      </x:c>
      <x:c r="C8" s="128" t="n">
        <x:v>0</x:v>
      </x:c>
      <x:c r="D8" s="128" t="n">
        <x:v>0</x:v>
      </x:c>
      <x:c r="E8" s="128" t="n">
        <x:v>0</x:v>
      </x:c>
      <x:c r="F8" s="129" t="n">
        <x:f>ROUND(SUM(C8:E8),2)</x:f>
        <x:v>0</x:v>
      </x:c>
      <x:c r="G8" s="129" t="n">
        <x:f>ROUND(B8*'参数输入'!$B$15,2)</x:f>
        <x:v>0</x:v>
      </x:c>
      <x:c r="H8" s="129" t="n">
        <x:f>IF('参数输入'!$B$7=2,ROUND(F8*'参数输入'!$B$15,2),0)</x:f>
        <x:v>0</x:v>
      </x:c>
      <x:c r="I8" s="129" t="n">
        <x:f>ROUND(B8*'参数输入'!$B$16,2)</x:f>
        <x:v>0</x:v>
      </x:c>
      <x:c r="J8" s="129" t="n">
        <x:f>IF('参数输入'!$B$7=2,ROUND(F8*'参数输入'!$B$18,2),0)</x:f>
        <x:v>0</x:v>
      </x:c>
      <x:c r="K8" s="129" t="n">
        <x:f>ROUND(B8*'参数输入'!$B$17,2)</x:f>
        <x:v>0</x:v>
      </x:c>
      <x:c r="L8" s="129" t="n">
        <x:f>IF('参数输入'!$B$7=2,ROUND(F8*'参数输入'!$B$19,2),0)</x:f>
        <x:v>0</x:v>
      </x:c>
      <x:c r="M8" s="129" t="n">
        <x:f>ROUND(B8-G8,2)</x:f>
        <x:v>0</x:v>
      </x:c>
      <x:c r="N8" s="129" t="n">
        <x:f>IF('参数输入'!$B$7=2,ROUND(F8-H8,2),0)</x:f>
        <x:v>0</x:v>
      </x:c>
      <x:c r="O8" s="129" t="n">
        <x:f>IF('参数输入'!$B$7=1,ROUND(F8,2),0)</x:f>
        <x:v>0</x:v>
      </x:c>
    </x:row>
    <x:row r="9">
      <x:c r="A9" s="119" t="str">
        <x:v>V05</x:v>
      </x:c>
      <x:c r="B9" s="128" t="n">
        <x:v>0</x:v>
      </x:c>
      <x:c r="C9" s="128" t="n">
        <x:v>0</x:v>
      </x:c>
      <x:c r="D9" s="128" t="n">
        <x:v>0</x:v>
      </x:c>
      <x:c r="E9" s="128" t="n">
        <x:v>0</x:v>
      </x:c>
      <x:c r="F9" s="129" t="n">
        <x:f>ROUND(SUM(C9:E9),2)</x:f>
        <x:v>0</x:v>
      </x:c>
      <x:c r="G9" s="129" t="n">
        <x:f>ROUND(B9*'参数输入'!$B$15,2)</x:f>
        <x:v>0</x:v>
      </x:c>
      <x:c r="H9" s="129" t="n">
        <x:f>IF('参数输入'!$B$7=2,ROUND(F9*'参数输入'!$B$15,2),0)</x:f>
        <x:v>0</x:v>
      </x:c>
      <x:c r="I9" s="129" t="n">
        <x:f>ROUND(B9*'参数输入'!$B$16,2)</x:f>
        <x:v>0</x:v>
      </x:c>
      <x:c r="J9" s="129" t="n">
        <x:f>IF('参数输入'!$B$7=2,ROUND(F9*'参数输入'!$B$18,2),0)</x:f>
        <x:v>0</x:v>
      </x:c>
      <x:c r="K9" s="129" t="n">
        <x:f>ROUND(B9*'参数输入'!$B$17,2)</x:f>
        <x:v>0</x:v>
      </x:c>
      <x:c r="L9" s="129" t="n">
        <x:f>IF('参数输入'!$B$7=2,ROUND(F9*'参数输入'!$B$19,2),0)</x:f>
        <x:v>0</x:v>
      </x:c>
      <x:c r="M9" s="129" t="n">
        <x:f>ROUND(B9-G9,2)</x:f>
        <x:v>0</x:v>
      </x:c>
      <x:c r="N9" s="129" t="n">
        <x:f>IF('参数输入'!$B$7=2,ROUND(F9-H9,2),0)</x:f>
        <x:v>0</x:v>
      </x:c>
      <x:c r="O9" s="129" t="n">
        <x:f>IF('参数输入'!$B$7=1,ROUND(F9,2),0)</x:f>
        <x:v>0</x:v>
      </x:c>
    </x:row>
    <x:row r="10">
      <x:c r="A10" s="119" t="str">
        <x:v>V06</x:v>
      </x:c>
      <x:c r="B10" s="128" t="n">
        <x:v>0</x:v>
      </x:c>
      <x:c r="C10" s="128" t="n">
        <x:v>0</x:v>
      </x:c>
      <x:c r="D10" s="128" t="n">
        <x:v>0</x:v>
      </x:c>
      <x:c r="E10" s="128" t="n">
        <x:v>0</x:v>
      </x:c>
      <x:c r="F10" s="129" t="n">
        <x:f>ROUND(SUM(C10:E10),2)</x:f>
        <x:v>0</x:v>
      </x:c>
      <x:c r="G10" s="129" t="n">
        <x:f>ROUND(B10*'参数输入'!$B$15,2)</x:f>
        <x:v>0</x:v>
      </x:c>
      <x:c r="H10" s="129" t="n">
        <x:f>IF('参数输入'!$B$7=2,ROUND(F10*'参数输入'!$B$15,2),0)</x:f>
        <x:v>0</x:v>
      </x:c>
      <x:c r="I10" s="129" t="n">
        <x:f>ROUND(B10*'参数输入'!$B$16,2)</x:f>
        <x:v>0</x:v>
      </x:c>
      <x:c r="J10" s="129" t="n">
        <x:f>IF('参数输入'!$B$7=2,ROUND(F10*'参数输入'!$B$18,2),0)</x:f>
        <x:v>0</x:v>
      </x:c>
      <x:c r="K10" s="129" t="n">
        <x:f>ROUND(B10*'参数输入'!$B$17,2)</x:f>
        <x:v>0</x:v>
      </x:c>
      <x:c r="L10" s="129" t="n">
        <x:f>IF('参数输入'!$B$7=2,ROUND(F10*'参数输入'!$B$19,2),0)</x:f>
        <x:v>0</x:v>
      </x:c>
      <x:c r="M10" s="129" t="n">
        <x:f>ROUND(B10-G10,2)</x:f>
        <x:v>0</x:v>
      </x:c>
      <x:c r="N10" s="129" t="n">
        <x:f>IF('参数输入'!$B$7=2,ROUND(F10-H10,2),0)</x:f>
        <x:v>0</x:v>
      </x:c>
      <x:c r="O10" s="129" t="n">
        <x:f>IF('参数输入'!$B$7=1,ROUND(F10,2),0)</x:f>
        <x:v>0</x:v>
      </x:c>
    </x:row>
    <x:row r="11">
      <x:c r="A11" s="119" t="str">
        <x:v>V07</x:v>
      </x:c>
      <x:c r="B11" s="128" t="n">
        <x:v>0</x:v>
      </x:c>
      <x:c r="C11" s="128" t="n">
        <x:v>0</x:v>
      </x:c>
      <x:c r="D11" s="128" t="n">
        <x:v>0</x:v>
      </x:c>
      <x:c r="E11" s="128" t="n">
        <x:v>0</x:v>
      </x:c>
      <x:c r="F11" s="129" t="n">
        <x:f>ROUND(SUM(C11:E11),2)</x:f>
        <x:v>0</x:v>
      </x:c>
      <x:c r="G11" s="129" t="n">
        <x:f>ROUND(B11*'参数输入'!$B$15,2)</x:f>
        <x:v>0</x:v>
      </x:c>
      <x:c r="H11" s="129" t="n">
        <x:f>IF('参数输入'!$B$7=2,ROUND(F11*'参数输入'!$B$15,2),0)</x:f>
        <x:v>0</x:v>
      </x:c>
      <x:c r="I11" s="129" t="n">
        <x:f>ROUND(B11*'参数输入'!$B$16,2)</x:f>
        <x:v>0</x:v>
      </x:c>
      <x:c r="J11" s="129" t="n">
        <x:f>IF('参数输入'!$B$7=2,ROUND(F11*'参数输入'!$B$18,2),0)</x:f>
        <x:v>0</x:v>
      </x:c>
      <x:c r="K11" s="129" t="n">
        <x:f>ROUND(B11*'参数输入'!$B$17,2)</x:f>
        <x:v>0</x:v>
      </x:c>
      <x:c r="L11" s="129" t="n">
        <x:f>IF('参数输入'!$B$7=2,ROUND(F11*'参数输入'!$B$19,2),0)</x:f>
        <x:v>0</x:v>
      </x:c>
      <x:c r="M11" s="129" t="n">
        <x:f>ROUND(B11-G11,2)</x:f>
        <x:v>0</x:v>
      </x:c>
      <x:c r="N11" s="129" t="n">
        <x:f>IF('参数输入'!$B$7=2,ROUND(F11-H11,2),0)</x:f>
        <x:v>0</x:v>
      </x:c>
      <x:c r="O11" s="129" t="n">
        <x:f>IF('参数输入'!$B$7=1,ROUND(F11,2),0)</x:f>
        <x:v>0</x:v>
      </x:c>
    </x:row>
    <x:row r="12">
      <x:c r="A12" s="119" t="str">
        <x:v>V08</x:v>
      </x:c>
      <x:c r="B12" s="128" t="n">
        <x:v>0</x:v>
      </x:c>
      <x:c r="C12" s="128" t="n">
        <x:v>0</x:v>
      </x:c>
      <x:c r="D12" s="128" t="n">
        <x:v>0</x:v>
      </x:c>
      <x:c r="E12" s="128" t="n">
        <x:v>0</x:v>
      </x:c>
      <x:c r="F12" s="129" t="n">
        <x:f>ROUND(SUM(C12:E12),2)</x:f>
        <x:v>0</x:v>
      </x:c>
      <x:c r="G12" s="129" t="n">
        <x:f>ROUND(B12*'参数输入'!$B$15,2)</x:f>
        <x:v>0</x:v>
      </x:c>
      <x:c r="H12" s="129" t="n">
        <x:f>IF('参数输入'!$B$7=2,ROUND(F12*'参数输入'!$B$15,2),0)</x:f>
        <x:v>0</x:v>
      </x:c>
      <x:c r="I12" s="129" t="n">
        <x:f>ROUND(B12*'参数输入'!$B$16,2)</x:f>
        <x:v>0</x:v>
      </x:c>
      <x:c r="J12" s="129" t="n">
        <x:f>IF('参数输入'!$B$7=2,ROUND(F12*'参数输入'!$B$18,2),0)</x:f>
        <x:v>0</x:v>
      </x:c>
      <x:c r="K12" s="129" t="n">
        <x:f>ROUND(B12*'参数输入'!$B$17,2)</x:f>
        <x:v>0</x:v>
      </x:c>
      <x:c r="L12" s="129" t="n">
        <x:f>IF('参数输入'!$B$7=2,ROUND(F12*'参数输入'!$B$19,2),0)</x:f>
        <x:v>0</x:v>
      </x:c>
      <x:c r="M12" s="129" t="n">
        <x:f>ROUND(B12-G12,2)</x:f>
        <x:v>0</x:v>
      </x:c>
      <x:c r="N12" s="129" t="n">
        <x:f>IF('参数输入'!$B$7=2,ROUND(F12-H12,2),0)</x:f>
        <x:v>0</x:v>
      </x:c>
      <x:c r="O12" s="129" t="n">
        <x:f>IF('参数输入'!$B$7=1,ROUND(F12,2),0)</x:f>
        <x:v>0</x:v>
      </x:c>
    </x:row>
    <x:row r="13">
      <x:c r="A13" s="119" t="str">
        <x:v>V09</x:v>
      </x:c>
      <x:c r="B13" s="128" t="n">
        <x:v>0</x:v>
      </x:c>
      <x:c r="C13" s="128" t="n">
        <x:v>0</x:v>
      </x:c>
      <x:c r="D13" s="128" t="n">
        <x:v>0</x:v>
      </x:c>
      <x:c r="E13" s="128" t="n">
        <x:v>0</x:v>
      </x:c>
      <x:c r="F13" s="129" t="n">
        <x:f>ROUND(SUM(C13:E13),2)</x:f>
        <x:v>0</x:v>
      </x:c>
      <x:c r="G13" s="129" t="n">
        <x:f>ROUND(B13*'参数输入'!$B$15,2)</x:f>
        <x:v>0</x:v>
      </x:c>
      <x:c r="H13" s="129" t="n">
        <x:f>IF('参数输入'!$B$7=2,ROUND(F13*'参数输入'!$B$15,2),0)</x:f>
        <x:v>0</x:v>
      </x:c>
      <x:c r="I13" s="129" t="n">
        <x:f>ROUND(B13*'参数输入'!$B$16,2)</x:f>
        <x:v>0</x:v>
      </x:c>
      <x:c r="J13" s="129" t="n">
        <x:f>IF('参数输入'!$B$7=2,ROUND(F13*'参数输入'!$B$18,2),0)</x:f>
        <x:v>0</x:v>
      </x:c>
      <x:c r="K13" s="129" t="n">
        <x:f>ROUND(B13*'参数输入'!$B$17,2)</x:f>
        <x:v>0</x:v>
      </x:c>
      <x:c r="L13" s="129" t="n">
        <x:f>IF('参数输入'!$B$7=2,ROUND(F13*'参数输入'!$B$19,2),0)</x:f>
        <x:v>0</x:v>
      </x:c>
      <x:c r="M13" s="129" t="n">
        <x:f>ROUND(B13-G13,2)</x:f>
        <x:v>0</x:v>
      </x:c>
      <x:c r="N13" s="129" t="n">
        <x:f>IF('参数输入'!$B$7=2,ROUND(F13-H13,2),0)</x:f>
        <x:v>0</x:v>
      </x:c>
      <x:c r="O13" s="129" t="n">
        <x:f>IF('参数输入'!$B$7=1,ROUND(F13,2),0)</x:f>
        <x:v>0</x:v>
      </x:c>
    </x:row>
    <x:row r="14">
      <x:c r="A14" s="119" t="str">
        <x:v>V10</x:v>
      </x:c>
      <x:c r="B14" s="128" t="n">
        <x:v>0</x:v>
      </x:c>
      <x:c r="C14" s="128" t="n">
        <x:v>0</x:v>
      </x:c>
      <x:c r="D14" s="128" t="n">
        <x:v>0</x:v>
      </x:c>
      <x:c r="E14" s="128" t="n">
        <x:v>0</x:v>
      </x:c>
      <x:c r="F14" s="129" t="n">
        <x:f>ROUND(SUM(C14:E14),2)</x:f>
        <x:v>0</x:v>
      </x:c>
      <x:c r="G14" s="129" t="n">
        <x:f>ROUND(B14*'参数输入'!$B$15,2)</x:f>
        <x:v>0</x:v>
      </x:c>
      <x:c r="H14" s="129" t="n">
        <x:f>IF('参数输入'!$B$7=2,ROUND(F14*'参数输入'!$B$15,2),0)</x:f>
        <x:v>0</x:v>
      </x:c>
      <x:c r="I14" s="129" t="n">
        <x:f>ROUND(B14*'参数输入'!$B$16,2)</x:f>
        <x:v>0</x:v>
      </x:c>
      <x:c r="J14" s="129" t="n">
        <x:f>IF('参数输入'!$B$7=2,ROUND(F14*'参数输入'!$B$18,2),0)</x:f>
        <x:v>0</x:v>
      </x:c>
      <x:c r="K14" s="129" t="n">
        <x:f>ROUND(B14*'参数输入'!$B$17,2)</x:f>
        <x:v>0</x:v>
      </x:c>
      <x:c r="L14" s="129" t="n">
        <x:f>IF('参数输入'!$B$7=2,ROUND(F14*'参数输入'!$B$19,2),0)</x:f>
        <x:v>0</x:v>
      </x:c>
      <x:c r="M14" s="129" t="n">
        <x:f>ROUND(B14-G14,2)</x:f>
        <x:v>0</x:v>
      </x:c>
      <x:c r="N14" s="129" t="n">
        <x:f>IF('参数输入'!$B$7=2,ROUND(F14-H14,2),0)</x:f>
        <x:v>0</x:v>
      </x:c>
      <x:c r="O14" s="129" t="n">
        <x:f>IF('参数输入'!$B$7=1,ROUND(F14,2),0)</x:f>
        <x:v>0</x:v>
      </x:c>
    </x:row>
    <x:row r="15">
      <x:c r="A15" s="104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</x:row>
    <x:row r="16">
      <x:c r="A16" s="132" t="str">
        <x:v>合计</x:v>
      </x:c>
      <x:c r="B16" s="133" t="n">
        <x:f>ROUND(SUM(B5:B14),2)</x:f>
        <x:v>17921.45</x:v>
      </x:c>
      <x:c r="C16" s="133" t="n">
        <x:f>ROUND(SUM(C5:C14),2)</x:f>
        <x:v>0</x:v>
      </x:c>
      <x:c r="D16" s="133" t="n">
        <x:f>ROUND(SUM(D5:D14),2)</x:f>
        <x:v>0</x:v>
      </x:c>
      <x:c r="E16" s="133" t="n">
        <x:f>ROUND(SUM(E5:E14),2)</x:f>
        <x:v>0</x:v>
      </x:c>
      <x:c r="F16" s="133" t="n">
        <x:f>ROUND(SUM(F5:F14),2)</x:f>
        <x:v>0</x:v>
      </x:c>
      <x:c r="G16" s="133" t="n">
        <x:f>ROUND(SUM(G5:G14),2)</x:f>
        <x:v>1792.15</x:v>
      </x:c>
      <x:c r="H16" s="133" t="n">
        <x:f>ROUND(SUM(H5:H14),2)</x:f>
        <x:v>0</x:v>
      </x:c>
      <x:c r="I16" s="133" t="n">
        <x:f>ROUND(SUM(I5:I14),2)</x:f>
        <x:v>0</x:v>
      </x:c>
      <x:c r="J16" s="133" t="n">
        <x:f>ROUND(SUM(J5:J14),2)</x:f>
        <x:v>0</x:v>
      </x:c>
      <x:c r="K16" s="133" t="n">
        <x:f>ROUND(SUM(K5:K14),2)</x:f>
        <x:v>645.17</x:v>
      </x:c>
      <x:c r="L16" s="133" t="n">
        <x:f>ROUND(SUM(L5:L14),2)</x:f>
        <x:v>0</x:v>
      </x:c>
      <x:c r="M16" s="133" t="n">
        <x:f>ROUND(SUM(M5:M14),2)</x:f>
        <x:v>16129.3</x:v>
      </x:c>
      <x:c r="N16" s="133" t="n">
        <x:f>ROUND(SUM(N5:N14),2)</x:f>
        <x:v>0</x:v>
      </x:c>
      <x:c r="O16" s="133" t="n">
        <x:f>ROUND(SUM(O5:O14),2)</x:f>
        <x:v>0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16" hidden="0" customWidth="1"/>
    <x:col min="5" max="5" width="17" hidden="0" customWidth="1"/>
    <x:col min="6" max="6" width="15" hidden="0" customWidth="1"/>
    <x:col min="7" max="7" width="14" hidden="0" customWidth="1"/>
    <x:col min="8" max="8" width="15" hidden="0" customWidth="1"/>
    <x:col min="9" max="9" width="13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5" hidden="0" customWidth="1"/>
    <x:col min="16" max="16" width="15" hidden="0" customWidth="1"/>
    <x:col min="17" max="17" width="13" hidden="0" customWidth="1"/>
    <x:col min="18" max="18" width="16" hidden="0" customWidth="1"/>
  </x:cols>
  <x:sheetData>
    <x:row r="1" ht="30" customHeight="1">
      <x:c r="A1" s="69" t="str">
        <x:v>逐车逐期试算明细</x:v>
      </x:c>
      <x:c r="B1" s="69" t="str">
        <x:v>逐车逐期试算明细</x:v>
      </x:c>
      <x:c r="C1" s="69" t="str">
        <x:v>逐车逐期试算明细</x:v>
      </x:c>
      <x:c r="D1" s="69" t="str">
        <x:v>逐车逐期试算明细</x:v>
      </x:c>
      <x:c r="E1" s="69" t="str">
        <x:v>逐车逐期试算明细</x:v>
      </x:c>
      <x:c r="F1" s="69" t="str">
        <x:v>逐车逐期试算明细</x:v>
      </x:c>
      <x:c r="G1" s="69" t="str">
        <x:v>逐车逐期试算明细</x:v>
      </x:c>
      <x:c r="H1" s="69" t="str">
        <x:v>逐车逐期试算明细</x:v>
      </x:c>
      <x:c r="I1" s="69" t="str">
        <x:v>逐车逐期试算明细</x:v>
      </x:c>
      <x:c r="J1" s="69" t="str">
        <x:v>逐车逐期试算明细</x:v>
      </x:c>
      <x:c r="K1" s="69" t="str">
        <x:v>逐车逐期试算明细</x:v>
      </x:c>
      <x:c r="L1" s="69" t="str">
        <x:v>逐车逐期试算明细</x:v>
      </x:c>
      <x:c r="M1" s="69" t="str">
        <x:v>逐车逐期试算明细</x:v>
      </x:c>
      <x:c r="N1" s="69" t="str">
        <x:v>逐车逐期试算明细</x:v>
      </x:c>
      <x:c r="O1" s="69" t="str">
        <x:v>逐车逐期试算明细</x:v>
      </x:c>
      <x:c r="P1" s="69" t="str">
        <x:v>逐车逐期试算明细</x:v>
      </x:c>
      <x:c r="Q1" s="69" t="str">
        <x:v>逐车逐期试算明细</x:v>
      </x:c>
      <x:c r="R1" s="69" t="str">
        <x:v>逐车逐期试算明细</x:v>
      </x:c>
    </x:row>
    <x:row r="2">
      <x:c r="A2" s="99" t="str">
        <x:v>车辆</x:v>
      </x:c>
      <x:c r="B2" s="99" t="str">
        <x:v>期次</x:v>
      </x:c>
      <x:c r="C2" s="99" t="str">
        <x:v>启用</x:v>
      </x:c>
      <x:c r="D2" s="99" t="str">
        <x:v>期初商业险本金</x:v>
      </x:c>
      <x:c r="E2" s="99" t="str">
        <x:v>期初非商业险本金</x:v>
      </x:c>
      <x:c r="F2" s="99" t="str">
        <x:v>期初占用本金</x:v>
      </x:c>
      <x:c r="G2" s="99" t="str">
        <x:v>商业险本金</x:v>
      </x:c>
      <x:c r="H2" s="99" t="str">
        <x:v>非商业险本金</x:v>
      </x:c>
      <x:c r="I2" s="99" t="str">
        <x:v>本期本金</x:v>
      </x:c>
      <x:c r="J2" s="99" t="str">
        <x:v>分摊权重</x:v>
      </x:c>
      <x:c r="K2" s="99" t="str">
        <x:v>运营服务费总额</x:v>
      </x:c>
      <x:c r="L2" s="99" t="str">
        <x:v>技术服务费总额</x:v>
      </x:c>
      <x:c r="M2" s="99" t="str">
        <x:v>运营服务费分摊</x:v>
      </x:c>
      <x:c r="N2" s="99" t="str">
        <x:v>技术服务费分摊</x:v>
      </x:c>
      <x:c r="O2" s="99" t="str">
        <x:v>其他分期费用</x:v>
      </x:c>
      <x:c r="P2" s="99" t="str">
        <x:v>客户本期应还</x:v>
      </x:c>
      <x:c r="Q2" s="99" t="str">
        <x:v>开始日期</x:v>
      </x:c>
      <x:c r="R2" s="99" t="str">
        <x:v>还款/结束日期</x:v>
      </x:c>
    </x:row>
    <x:row r="3">
      <x:c r="A3" s="101" t="str">
        <x:v>V01</x:v>
      </x:c>
      <x:c r="B3" s="101" t="n">
        <x:v>1</x:v>
      </x:c>
      <x:c r="C3" s="101" t="n">
        <x:f>IF(AND(SUM('车辆输入'!$B$5:$F$5)&gt;0,B3&lt;='参数输入'!$B$8),1,0)</x:f>
        <x:v>1</x:v>
      </x:c>
      <x:c r="D3" s="136" t="n">
        <x:f>IF(C3=1,ROUND(MAX('车辆输入'!$M$5-ROUND('车辆输入'!$M$5/'参数输入'!$B$8,2)*(B3-1),0),2),0)</x:f>
        <x:v>16129.3</x:v>
      </x:c>
      <x:c r="E3" s="136" t="n">
        <x:f>IF(AND(C3=1,B3&lt;='参数输入'!$B$9),ROUND(MAX('车辆输入'!$N$5-ROUND('车辆输入'!$N$5/MAX('参数输入'!$B$9,1),2)*(B3-1),0),2),0)</x:f>
        <x:v>0</x:v>
      </x:c>
      <x:c r="F3" s="136" t="n">
        <x:f>ROUND(D3+E3,2)</x:f>
        <x:v>16129.3</x:v>
      </x:c>
      <x:c r="G3" s="136" t="n">
        <x:f>IF(C3=0,0,ROUND(IF(B3='参数输入'!$B$8,D3,MIN(D3,ROUND('车辆输入'!$M$5/'参数输入'!$B$8,2))),2))</x:f>
        <x:v>1792.14</x:v>
      </x:c>
      <x:c r="H3" s="136" t="n">
        <x:f>IF(OR(C3=0,'参数输入'!$B$9=0,B3&gt;'参数输入'!$B$9),0,ROUND(IF(B3='参数输入'!$B$9,E3,MIN(E3,ROUND('车辆输入'!$N$5/'参数输入'!$B$9,2))),2))</x:f>
        <x:v>0</x:v>
      </x:c>
      <x:c r="I3" s="136" t="n">
        <x:f>ROUND(G3+H3,2)</x:f>
        <x:v>1792.14</x:v>
      </x:c>
      <x:c r="J3" s="137" t="n">
        <x:f>IF(C3=1,F3/SUMIFS($F$3:$F$122,$A$3:$A$122,A3,$C$3:$C$122,1),0)</x:f>
        <x:v>0.19999960320737398</x:v>
      </x:c>
      <x:c r="K3" s="136" t="n">
        <x:f>IF(C3=1,ROUND('车辆输入'!$K$5+'车辆输入'!$L$5,2),0)</x:f>
        <x:v>645.17</x:v>
      </x:c>
      <x:c r="L3" s="136" t="n">
        <x:f>IF(C3=1,ROUND(('车辆输入'!$M$5+'车辆输入'!$N$5)*'参数输入'!$B$20,2),0)</x:f>
        <x:v>80.65</x:v>
      </x:c>
      <x:c r="M3" s="136" t="n">
        <x:f>IF(C3=0,0,ROUND(IF(B3='参数输入'!$B$8,K3-SUMIFS($M$3:$M$122,$A$3:$A$122,A3,$B$3:$B$122,"&lt;"&amp;B3),K3*J3),2))</x:f>
        <x:v>129.03</x:v>
      </x:c>
      <x:c r="N3" s="136" t="n">
        <x:f>IF(C3=0,0,ROUND(IF(B3='参数输入'!$B$8,L3-SUMIFS($N$3:$N$122,$A$3:$A$122,A3,$B$3:$B$122,"&lt;"&amp;B3),L3*J3),2))</x:f>
        <x:v>16.13</x:v>
      </x:c>
      <x:c r="O3" s="128" t="n">
        <x:v>0</x:v>
      </x:c>
      <x:c r="P3" s="136" t="n">
        <x:f>ROUND(I3+O3,2)</x:f>
        <x:v>1792.14</x:v>
      </x:c>
      <x:c r="Q3" s="123" t="n">
        <x:f>IF(C3=0,"",IF(B3=1,'参数输入'!$B$10,EDATE('参数输入'!$B$24,B3-1)+1))</x:f>
        <x:v>46249</x:v>
      </x:c>
      <x:c r="R3" s="123" t="n">
        <x:f>IF(C3=0,"",EDATE('参数输入'!$B$24,B3))</x:f>
        <x:v>46269</x:v>
      </x:c>
    </x:row>
    <x:row r="4">
      <x:c r="A4" s="101" t="str">
        <x:v>V01</x:v>
      </x:c>
      <x:c r="B4" s="101" t="n">
        <x:v>2</x:v>
      </x:c>
      <x:c r="C4" s="101" t="n">
        <x:f>IF(AND(SUM('车辆输入'!$B$5:$F$5)&gt;0,B4&lt;='参数输入'!$B$8),1,0)</x:f>
        <x:v>1</x:v>
      </x:c>
      <x:c r="D4" s="136" t="n">
        <x:f>IF(C4=1,ROUND(MAX('车辆输入'!$M$5-ROUND('车辆输入'!$M$5/'参数输入'!$B$8,2)*(B4-1),0),2),0)</x:f>
        <x:v>14337.16</x:v>
      </x:c>
      <x:c r="E4" s="136" t="n">
        <x:f>IF(AND(C4=1,B4&lt;='参数输入'!$B$9),ROUND(MAX('车辆输入'!$N$5-ROUND('车辆输入'!$N$5/MAX('参数输入'!$B$9,1),2)*(B4-1),0),2),0)</x:f>
        <x:v>0</x:v>
      </x:c>
      <x:c r="F4" s="136" t="n">
        <x:f>ROUND(D4+E4,2)</x:f>
        <x:v>14337.16</x:v>
      </x:c>
      <x:c r="G4" s="136" t="n">
        <x:f>IF(C4=0,0,ROUND(IF(B4='参数输入'!$B$8,D4,MIN(D4,ROUND('车辆输入'!$M$5/'参数输入'!$B$8,2))),2))</x:f>
        <x:v>1792.14</x:v>
      </x:c>
      <x:c r="H4" s="136" t="n">
        <x:f>IF(OR(C4=0,'参数输入'!$B$9=0,B4&gt;'参数输入'!$B$9),0,ROUND(IF(B4='参数输入'!$B$9,E4,MIN(E4,ROUND('车辆输入'!$N$5/'参数输入'!$B$9,2))),2))</x:f>
        <x:v>0</x:v>
      </x:c>
      <x:c r="I4" s="136" t="n">
        <x:f>ROUND(G4+H4,2)</x:f>
        <x:v>1792.14</x:v>
      </x:c>
      <x:c r="J4" s="137" t="n">
        <x:f>IF(C4=1,F4/SUMIFS($F$3:$F$122,$A$3:$A$122,A4,$C$3:$C$122,1),0)</x:f>
        <x:v>0.17777748018330827</x:v>
      </x:c>
      <x:c r="K4" s="136" t="n">
        <x:f>IF(C4=1,ROUND('车辆输入'!$K$5+'车辆输入'!$L$5,2),0)</x:f>
        <x:v>645.17</x:v>
      </x:c>
      <x:c r="L4" s="136" t="n">
        <x:f>IF(C4=1,ROUND(('车辆输入'!$M$5+'车辆输入'!$N$5)*'参数输入'!$B$20,2),0)</x:f>
        <x:v>80.65</x:v>
      </x:c>
      <x:c r="M4" s="136" t="n">
        <x:f>IF(C4=0,0,ROUND(IF(B4='参数输入'!$B$8,K4-SUMIFS($M$3:$M$122,$A$3:$A$122,A4,$B$3:$B$122,"&lt;"&amp;B4),K4*J4),2))</x:f>
        <x:v>114.7</x:v>
      </x:c>
      <x:c r="N4" s="136" t="n">
        <x:f>IF(C4=0,0,ROUND(IF(B4='参数输入'!$B$8,L4-SUMIFS($N$3:$N$122,$A$3:$A$122,A4,$B$3:$B$122,"&lt;"&amp;B4),L4*J4),2))</x:f>
        <x:v>14.34</x:v>
      </x:c>
      <x:c r="O4" s="128" t="n">
        <x:v>0</x:v>
      </x:c>
      <x:c r="P4" s="136" t="n">
        <x:f>ROUND(I4+O4,2)</x:f>
        <x:v>1792.14</x:v>
      </x:c>
      <x:c r="Q4" s="123" t="n">
        <x:f>IF(C4=0,"",IF(B4=1,'参数输入'!$B$10,EDATE('参数输入'!$B$24,B4-1)+1))</x:f>
        <x:v>46270</x:v>
      </x:c>
      <x:c r="R4" s="123" t="n">
        <x:f>IF(C4=0,"",EDATE('参数输入'!$B$24,B4))</x:f>
        <x:v>46299</x:v>
      </x:c>
    </x:row>
    <x:row r="5">
      <x:c r="A5" s="101" t="str">
        <x:v>V01</x:v>
      </x:c>
      <x:c r="B5" s="101" t="n">
        <x:v>3</x:v>
      </x:c>
      <x:c r="C5" s="101" t="n">
        <x:f>IF(AND(SUM('车辆输入'!$B$5:$F$5)&gt;0,B5&lt;='参数输入'!$B$8),1,0)</x:f>
        <x:v>1</x:v>
      </x:c>
      <x:c r="D5" s="136" t="n">
        <x:f>IF(C5=1,ROUND(MAX('车辆输入'!$M$5-ROUND('车辆输入'!$M$5/'参数输入'!$B$8,2)*(B5-1),0),2),0)</x:f>
        <x:v>12545.02</x:v>
      </x:c>
      <x:c r="E5" s="136" t="n">
        <x:f>IF(AND(C5=1,B5&lt;='参数输入'!$B$9),ROUND(MAX('车辆输入'!$N$5-ROUND('车辆输入'!$N$5/MAX('参数输入'!$B$9,1),2)*(B5-1),0),2),0)</x:f>
        <x:v>0</x:v>
      </x:c>
      <x:c r="F5" s="136" t="n">
        <x:f>ROUND(D5+E5,2)</x:f>
        <x:v>12545.02</x:v>
      </x:c>
      <x:c r="G5" s="136" t="n">
        <x:f>IF(C5=0,0,ROUND(IF(B5='参数输入'!$B$8,D5,MIN(D5,ROUND('车辆输入'!$M$5/'参数输入'!$B$8,2))),2))</x:f>
        <x:v>1792.14</x:v>
      </x:c>
      <x:c r="H5" s="136" t="n">
        <x:f>IF(OR(C5=0,'参数输入'!$B$9=0,B5&gt;'参数输入'!$B$9),0,ROUND(IF(B5='参数输入'!$B$9,E5,MIN(E5,ROUND('车辆输入'!$N$5/'参数输入'!$B$9,2))),2))</x:f>
        <x:v>0</x:v>
      </x:c>
      <x:c r="I5" s="136" t="n">
        <x:f>ROUND(G5+H5,2)</x:f>
        <x:v>1792.14</x:v>
      </x:c>
      <x:c r="J5" s="137" t="n">
        <x:f>IF(C5=1,F5/SUMIFS($F$3:$F$122,$A$3:$A$122,A5,$C$3:$C$122,1),0)</x:f>
        <x:v>0.15555535715924254</x:v>
      </x:c>
      <x:c r="K5" s="136" t="n">
        <x:f>IF(C5=1,ROUND('车辆输入'!$K$5+'车辆输入'!$L$5,2),0)</x:f>
        <x:v>645.17</x:v>
      </x:c>
      <x:c r="L5" s="136" t="n">
        <x:f>IF(C5=1,ROUND(('车辆输入'!$M$5+'车辆输入'!$N$5)*'参数输入'!$B$20,2),0)</x:f>
        <x:v>80.65</x:v>
      </x:c>
      <x:c r="M5" s="136" t="n">
        <x:f>IF(C5=0,0,ROUND(IF(B5='参数输入'!$B$8,K5-SUMIFS($M$3:$M$122,$A$3:$A$122,A5,$B$3:$B$122,"&lt;"&amp;B5),K5*J5),2))</x:f>
        <x:v>100.36</x:v>
      </x:c>
      <x:c r="N5" s="136" t="n">
        <x:f>IF(C5=0,0,ROUND(IF(B5='参数输入'!$B$8,L5-SUMIFS($N$3:$N$122,$A$3:$A$122,A5,$B$3:$B$122,"&lt;"&amp;B5),L5*J5),2))</x:f>
        <x:v>12.55</x:v>
      </x:c>
      <x:c r="O5" s="128" t="n">
        <x:v>0</x:v>
      </x:c>
      <x:c r="P5" s="136" t="n">
        <x:f>ROUND(I5+O5,2)</x:f>
        <x:v>1792.14</x:v>
      </x:c>
      <x:c r="Q5" s="123" t="n">
        <x:f>IF(C5=0,"",IF(B5=1,'参数输入'!$B$10,EDATE('参数输入'!$B$24,B5-1)+1))</x:f>
        <x:v>46300</x:v>
      </x:c>
      <x:c r="R5" s="123" t="n">
        <x:f>IF(C5=0,"",EDATE('参数输入'!$B$24,B5))</x:f>
        <x:v>46330</x:v>
      </x:c>
    </x:row>
    <x:row r="6">
      <x:c r="A6" s="101" t="str">
        <x:v>V01</x:v>
      </x:c>
      <x:c r="B6" s="101" t="n">
        <x:v>4</x:v>
      </x:c>
      <x:c r="C6" s="101" t="n">
        <x:f>IF(AND(SUM('车辆输入'!$B$5:$F$5)&gt;0,B6&lt;='参数输入'!$B$8),1,0)</x:f>
        <x:v>1</x:v>
      </x:c>
      <x:c r="D6" s="136" t="n">
        <x:f>IF(C6=1,ROUND(MAX('车辆输入'!$M$5-ROUND('车辆输入'!$M$5/'参数输入'!$B$8,2)*(B6-1),0),2),0)</x:f>
        <x:v>10752.88</x:v>
      </x:c>
      <x:c r="E6" s="136" t="n">
        <x:f>IF(AND(C6=1,B6&lt;='参数输入'!$B$9),ROUND(MAX('车辆输入'!$N$5-ROUND('车辆输入'!$N$5/MAX('参数输入'!$B$9,1),2)*(B6-1),0),2),0)</x:f>
        <x:v>0</x:v>
      </x:c>
      <x:c r="F6" s="136" t="n">
        <x:f>ROUND(D6+E6,2)</x:f>
        <x:v>10752.88</x:v>
      </x:c>
      <x:c r="G6" s="136" t="n">
        <x:f>IF(C6=0,0,ROUND(IF(B6='参数输入'!$B$8,D6,MIN(D6,ROUND('车辆输入'!$M$5/'参数输入'!$B$8,2))),2))</x:f>
        <x:v>1792.14</x:v>
      </x:c>
      <x:c r="H6" s="136" t="n">
        <x:f>IF(OR(C6=0,'参数输入'!$B$9=0,B6&gt;'参数输入'!$B$9),0,ROUND(IF(B6='参数输入'!$B$9,E6,MIN(E6,ROUND('车辆输入'!$N$5/'参数输入'!$B$9,2))),2))</x:f>
        <x:v>0</x:v>
      </x:c>
      <x:c r="I6" s="136" t="n">
        <x:f>ROUND(G6+H6,2)</x:f>
        <x:v>1792.14</x:v>
      </x:c>
      <x:c r="J6" s="137" t="n">
        <x:f>IF(C6=1,F6/SUMIFS($F$3:$F$122,$A$3:$A$122,A6,$C$3:$C$122,1),0)</x:f>
        <x:v>0.1333332341351768</x:v>
      </x:c>
      <x:c r="K6" s="136" t="n">
        <x:f>IF(C6=1,ROUND('车辆输入'!$K$5+'车辆输入'!$L$5,2),0)</x:f>
        <x:v>645.17</x:v>
      </x:c>
      <x:c r="L6" s="136" t="n">
        <x:f>IF(C6=1,ROUND(('车辆输入'!$M$5+'车辆输入'!$N$5)*'参数输入'!$B$20,2),0)</x:f>
        <x:v>80.65</x:v>
      </x:c>
      <x:c r="M6" s="136" t="n">
        <x:f>IF(C6=0,0,ROUND(IF(B6='参数输入'!$B$8,K6-SUMIFS($M$3:$M$122,$A$3:$A$122,A6,$B$3:$B$122,"&lt;"&amp;B6),K6*J6),2))</x:f>
        <x:v>86.02</x:v>
      </x:c>
      <x:c r="N6" s="136" t="n">
        <x:f>IF(C6=0,0,ROUND(IF(B6='参数输入'!$B$8,L6-SUMIFS($N$3:$N$122,$A$3:$A$122,A6,$B$3:$B$122,"&lt;"&amp;B6),L6*J6),2))</x:f>
        <x:v>10.75</x:v>
      </x:c>
      <x:c r="O6" s="128" t="n">
        <x:v>0</x:v>
      </x:c>
      <x:c r="P6" s="136" t="n">
        <x:f>ROUND(I6+O6,2)</x:f>
        <x:v>1792.14</x:v>
      </x:c>
      <x:c r="Q6" s="123" t="n">
        <x:f>IF(C6=0,"",IF(B6=1,'参数输入'!$B$10,EDATE('参数输入'!$B$24,B6-1)+1))</x:f>
        <x:v>46331</x:v>
      </x:c>
      <x:c r="R6" s="123" t="n">
        <x:f>IF(C6=0,"",EDATE('参数输入'!$B$24,B6))</x:f>
        <x:v>46360</x:v>
      </x:c>
    </x:row>
    <x:row r="7">
      <x:c r="A7" s="101" t="str">
        <x:v>V01</x:v>
      </x:c>
      <x:c r="B7" s="101" t="n">
        <x:v>5</x:v>
      </x:c>
      <x:c r="C7" s="101" t="n">
        <x:f>IF(AND(SUM('车辆输入'!$B$5:$F$5)&gt;0,B7&lt;='参数输入'!$B$8),1,0)</x:f>
        <x:v>1</x:v>
      </x:c>
      <x:c r="D7" s="136" t="n">
        <x:f>IF(C7=1,ROUND(MAX('车辆输入'!$M$5-ROUND('车辆输入'!$M$5/'参数输入'!$B$8,2)*(B7-1),0),2),0)</x:f>
        <x:v>8960.74</x:v>
      </x:c>
      <x:c r="E7" s="136" t="n">
        <x:f>IF(AND(C7=1,B7&lt;='参数输入'!$B$9),ROUND(MAX('车辆输入'!$N$5-ROUND('车辆输入'!$N$5/MAX('参数输入'!$B$9,1),2)*(B7-1),0),2),0)</x:f>
        <x:v>0</x:v>
      </x:c>
      <x:c r="F7" s="136" t="n">
        <x:f>ROUND(D7+E7,2)</x:f>
        <x:v>8960.74</x:v>
      </x:c>
      <x:c r="G7" s="136" t="n">
        <x:f>IF(C7=0,0,ROUND(IF(B7='参数输入'!$B$8,D7,MIN(D7,ROUND('车辆输入'!$M$5/'参数输入'!$B$8,2))),2))</x:f>
        <x:v>1792.14</x:v>
      </x:c>
      <x:c r="H7" s="136" t="n">
        <x:f>IF(OR(C7=0,'参数输入'!$B$9=0,B7&gt;'参数输入'!$B$9),0,ROUND(IF(B7='参数输入'!$B$9,E7,MIN(E7,ROUND('车辆输入'!$N$5/'参数输入'!$B$9,2))),2))</x:f>
        <x:v>0</x:v>
      </x:c>
      <x:c r="I7" s="136" t="n">
        <x:f>ROUND(G7+H7,2)</x:f>
        <x:v>1792.14</x:v>
      </x:c>
      <x:c r="J7" s="137" t="n">
        <x:f>IF(C7=1,F7/SUMIFS($F$3:$F$122,$A$3:$A$122,A7,$C$3:$C$122,1),0)</x:f>
        <x:v>0.1111111111111111</x:v>
      </x:c>
      <x:c r="K7" s="136" t="n">
        <x:f>IF(C7=1,ROUND('车辆输入'!$K$5+'车辆输入'!$L$5,2),0)</x:f>
        <x:v>645.17</x:v>
      </x:c>
      <x:c r="L7" s="136" t="n">
        <x:f>IF(C7=1,ROUND(('车辆输入'!$M$5+'车辆输入'!$N$5)*'参数输入'!$B$20,2),0)</x:f>
        <x:v>80.65</x:v>
      </x:c>
      <x:c r="M7" s="136" t="n">
        <x:f>IF(C7=0,0,ROUND(IF(B7='参数输入'!$B$8,K7-SUMIFS($M$3:$M$122,$A$3:$A$122,A7,$B$3:$B$122,"&lt;"&amp;B7),K7*J7),2))</x:f>
        <x:v>71.69</x:v>
      </x:c>
      <x:c r="N7" s="136" t="n">
        <x:f>IF(C7=0,0,ROUND(IF(B7='参数输入'!$B$8,L7-SUMIFS($N$3:$N$122,$A$3:$A$122,A7,$B$3:$B$122,"&lt;"&amp;B7),L7*J7),2))</x:f>
        <x:v>8.96</x:v>
      </x:c>
      <x:c r="O7" s="128" t="n">
        <x:v>0</x:v>
      </x:c>
      <x:c r="P7" s="136" t="n">
        <x:f>ROUND(I7+O7,2)</x:f>
        <x:v>1792.14</x:v>
      </x:c>
      <x:c r="Q7" s="123" t="n">
        <x:f>IF(C7=0,"",IF(B7=1,'参数输入'!$B$10,EDATE('参数输入'!$B$24,B7-1)+1))</x:f>
        <x:v>46361</x:v>
      </x:c>
      <x:c r="R7" s="123" t="n">
        <x:f>IF(C7=0,"",EDATE('参数输入'!$B$24,B7))</x:f>
        <x:v>46391</x:v>
      </x:c>
    </x:row>
    <x:row r="8">
      <x:c r="A8" s="101" t="str">
        <x:v>V01</x:v>
      </x:c>
      <x:c r="B8" s="101" t="n">
        <x:v>6</x:v>
      </x:c>
      <x:c r="C8" s="101" t="n">
        <x:f>IF(AND(SUM('车辆输入'!$B$5:$F$5)&gt;0,B8&lt;='参数输入'!$B$8),1,0)</x:f>
        <x:v>1</x:v>
      </x:c>
      <x:c r="D8" s="136" t="n">
        <x:f>IF(C8=1,ROUND(MAX('车辆输入'!$M$5-ROUND('车辆输入'!$M$5/'参数输入'!$B$8,2)*(B8-1),0),2),0)</x:f>
        <x:v>7168.6</x:v>
      </x:c>
      <x:c r="E8" s="136" t="n">
        <x:f>IF(AND(C8=1,B8&lt;='参数输入'!$B$9),ROUND(MAX('车辆输入'!$N$5-ROUND('车辆输入'!$N$5/MAX('参数输入'!$B$9,1),2)*(B8-1),0),2),0)</x:f>
        <x:v>0</x:v>
      </x:c>
      <x:c r="F8" s="136" t="n">
        <x:f>ROUND(D8+E8,2)</x:f>
        <x:v>7168.6</x:v>
      </x:c>
      <x:c r="G8" s="136" t="n">
        <x:f>IF(C8=0,0,ROUND(IF(B8='参数输入'!$B$8,D8,MIN(D8,ROUND('车辆输入'!$M$5/'参数输入'!$B$8,2))),2))</x:f>
        <x:v>1792.14</x:v>
      </x:c>
      <x:c r="H8" s="136" t="n">
        <x:f>IF(OR(C8=0,'参数输入'!$B$9=0,B8&gt;'参数输入'!$B$9),0,ROUND(IF(B8='参数输入'!$B$9,E8,MIN(E8,ROUND('车辆输入'!$N$5/'参数输入'!$B$9,2))),2))</x:f>
        <x:v>0</x:v>
      </x:c>
      <x:c r="I8" s="136" t="n">
        <x:f>ROUND(G8+H8,2)</x:f>
        <x:v>1792.14</x:v>
      </x:c>
      <x:c r="J8" s="137" t="n">
        <x:f>IF(C8=1,F8/SUMIFS($F$3:$F$122,$A$3:$A$122,A8,$C$3:$C$122,1),0)</x:f>
        <x:v>0.08888898808704539</x:v>
      </x:c>
      <x:c r="K8" s="136" t="n">
        <x:f>IF(C8=1,ROUND('车辆输入'!$K$5+'车辆输入'!$L$5,2),0)</x:f>
        <x:v>645.17</x:v>
      </x:c>
      <x:c r="L8" s="136" t="n">
        <x:f>IF(C8=1,ROUND(('车辆输入'!$M$5+'车辆输入'!$N$5)*'参数输入'!$B$20,2),0)</x:f>
        <x:v>80.65</x:v>
      </x:c>
      <x:c r="M8" s="136" t="n">
        <x:f>IF(C8=0,0,ROUND(IF(B8='参数输入'!$B$8,K8-SUMIFS($M$3:$M$122,$A$3:$A$122,A8,$B$3:$B$122,"&lt;"&amp;B8),K8*J8),2))</x:f>
        <x:v>57.35</x:v>
      </x:c>
      <x:c r="N8" s="136" t="n">
        <x:f>IF(C8=0,0,ROUND(IF(B8='参数输入'!$B$8,L8-SUMIFS($N$3:$N$122,$A$3:$A$122,A8,$B$3:$B$122,"&lt;"&amp;B8),L8*J8),2))</x:f>
        <x:v>7.17</x:v>
      </x:c>
      <x:c r="O8" s="128" t="n">
        <x:v>0</x:v>
      </x:c>
      <x:c r="P8" s="136" t="n">
        <x:f>ROUND(I8+O8,2)</x:f>
        <x:v>1792.14</x:v>
      </x:c>
      <x:c r="Q8" s="123" t="n">
        <x:f>IF(C8=0,"",IF(B8=1,'参数输入'!$B$10,EDATE('参数输入'!$B$24,B8-1)+1))</x:f>
        <x:v>46392</x:v>
      </x:c>
      <x:c r="R8" s="123" t="n">
        <x:f>IF(C8=0,"",EDATE('参数输入'!$B$24,B8))</x:f>
        <x:v>46422</x:v>
      </x:c>
    </x:row>
    <x:row r="9">
      <x:c r="A9" s="101" t="str">
        <x:v>V01</x:v>
      </x:c>
      <x:c r="B9" s="101" t="n">
        <x:v>7</x:v>
      </x:c>
      <x:c r="C9" s="101" t="n">
        <x:f>IF(AND(SUM('车辆输入'!$B$5:$F$5)&gt;0,B9&lt;='参数输入'!$B$8),1,0)</x:f>
        <x:v>1</x:v>
      </x:c>
      <x:c r="D9" s="136" t="n">
        <x:f>IF(C9=1,ROUND(MAX('车辆输入'!$M$5-ROUND('车辆输入'!$M$5/'参数输入'!$B$8,2)*(B9-1),0),2),0)</x:f>
        <x:v>5376.46</x:v>
      </x:c>
      <x:c r="E9" s="136" t="n">
        <x:f>IF(AND(C9=1,B9&lt;='参数输入'!$B$9),ROUND(MAX('车辆输入'!$N$5-ROUND('车辆输入'!$N$5/MAX('参数输入'!$B$9,1),2)*(B9-1),0),2),0)</x:f>
        <x:v>0</x:v>
      </x:c>
      <x:c r="F9" s="136" t="n">
        <x:f>ROUND(D9+E9,2)</x:f>
        <x:v>5376.46</x:v>
      </x:c>
      <x:c r="G9" s="136" t="n">
        <x:f>IF(C9=0,0,ROUND(IF(B9='参数输入'!$B$8,D9,MIN(D9,ROUND('车辆输入'!$M$5/'参数输入'!$B$8,2))),2))</x:f>
        <x:v>1792.14</x:v>
      </x:c>
      <x:c r="H9" s="136" t="n">
        <x:f>IF(OR(C9=0,'参数输入'!$B$9=0,B9&gt;'参数输入'!$B$9),0,ROUND(IF(B9='参数输入'!$B$9,E9,MIN(E9,ROUND('车辆输入'!$N$5/'参数输入'!$B$9,2))),2))</x:f>
        <x:v>0</x:v>
      </x:c>
      <x:c r="I9" s="136" t="n">
        <x:f>ROUND(G9+H9,2)</x:f>
        <x:v>1792.14</x:v>
      </x:c>
      <x:c r="J9" s="137" t="n">
        <x:f>IF(C9=1,F9/SUMIFS($F$3:$F$122,$A$3:$A$122,A9,$C$3:$C$122,1),0)</x:f>
        <x:v>0.06666686506297967</x:v>
      </x:c>
      <x:c r="K9" s="136" t="n">
        <x:f>IF(C9=1,ROUND('车辆输入'!$K$5+'车辆输入'!$L$5,2),0)</x:f>
        <x:v>645.17</x:v>
      </x:c>
      <x:c r="L9" s="136" t="n">
        <x:f>IF(C9=1,ROUND(('车辆输入'!$M$5+'车辆输入'!$N$5)*'参数输入'!$B$20,2),0)</x:f>
        <x:v>80.65</x:v>
      </x:c>
      <x:c r="M9" s="136" t="n">
        <x:f>IF(C9=0,0,ROUND(IF(B9='参数输入'!$B$8,K9-SUMIFS($M$3:$M$122,$A$3:$A$122,A9,$B$3:$B$122,"&lt;"&amp;B9),K9*J9),2))</x:f>
        <x:v>43.01</x:v>
      </x:c>
      <x:c r="N9" s="136" t="n">
        <x:f>IF(C9=0,0,ROUND(IF(B9='参数输入'!$B$8,L9-SUMIFS($N$3:$N$122,$A$3:$A$122,A9,$B$3:$B$122,"&lt;"&amp;B9),L9*J9),2))</x:f>
        <x:v>5.38</x:v>
      </x:c>
      <x:c r="O9" s="128" t="n">
        <x:v>0</x:v>
      </x:c>
      <x:c r="P9" s="136" t="n">
        <x:f>ROUND(I9+O9,2)</x:f>
        <x:v>1792.14</x:v>
      </x:c>
      <x:c r="Q9" s="123" t="n">
        <x:f>IF(C9=0,"",IF(B9=1,'参数输入'!$B$10,EDATE('参数输入'!$B$24,B9-1)+1))</x:f>
        <x:v>46423</x:v>
      </x:c>
      <x:c r="R9" s="123" t="n">
        <x:f>IF(C9=0,"",EDATE('参数输入'!$B$24,B9))</x:f>
        <x:v>46450</x:v>
      </x:c>
    </x:row>
    <x:row r="10">
      <x:c r="A10" s="101" t="str">
        <x:v>V01</x:v>
      </x:c>
      <x:c r="B10" s="101" t="n">
        <x:v>8</x:v>
      </x:c>
      <x:c r="C10" s="101" t="n">
        <x:f>IF(AND(SUM('车辆输入'!$B$5:$F$5)&gt;0,B10&lt;='参数输入'!$B$8),1,0)</x:f>
        <x:v>1</x:v>
      </x:c>
      <x:c r="D10" s="136" t="n">
        <x:f>IF(C10=1,ROUND(MAX('车辆输入'!$M$5-ROUND('车辆输入'!$M$5/'参数输入'!$B$8,2)*(B10-1),0),2),0)</x:f>
        <x:v>3584.32</x:v>
      </x:c>
      <x:c r="E10" s="136" t="n">
        <x:f>IF(AND(C10=1,B10&lt;='参数输入'!$B$9),ROUND(MAX('车辆输入'!$N$5-ROUND('车辆输入'!$N$5/MAX('参数输入'!$B$9,1),2)*(B10-1),0),2),0)</x:f>
        <x:v>0</x:v>
      </x:c>
      <x:c r="F10" s="136" t="n">
        <x:f>ROUND(D10+E10,2)</x:f>
        <x:v>3584.32</x:v>
      </x:c>
      <x:c r="G10" s="136" t="n">
        <x:f>IF(C10=0,0,ROUND(IF(B10='参数输入'!$B$8,D10,MIN(D10,ROUND('车辆输入'!$M$5/'参数输入'!$B$8,2))),2))</x:f>
        <x:v>1792.14</x:v>
      </x:c>
      <x:c r="H10" s="136" t="n">
        <x:f>IF(OR(C10=0,'参数输入'!$B$9=0,B10&gt;'参数输入'!$B$9),0,ROUND(IF(B10='参数输入'!$B$9,E10,MIN(E10,ROUND('车辆输入'!$N$5/'参数输入'!$B$9,2))),2))</x:f>
        <x:v>0</x:v>
      </x:c>
      <x:c r="I10" s="136" t="n">
        <x:f>ROUND(G10+H10,2)</x:f>
        <x:v>1792.14</x:v>
      </x:c>
      <x:c r="J10" s="137" t="n">
        <x:f>IF(C10=1,F10/SUMIFS($F$3:$F$122,$A$3:$A$122,A10,$C$3:$C$122,1),0)</x:f>
        <x:v>0.04444474203891395</x:v>
      </x:c>
      <x:c r="K10" s="136" t="n">
        <x:f>IF(C10=1,ROUND('车辆输入'!$K$5+'车辆输入'!$L$5,2),0)</x:f>
        <x:v>645.17</x:v>
      </x:c>
      <x:c r="L10" s="136" t="n">
        <x:f>IF(C10=1,ROUND(('车辆输入'!$M$5+'车辆输入'!$N$5)*'参数输入'!$B$20,2),0)</x:f>
        <x:v>80.65</x:v>
      </x:c>
      <x:c r="M10" s="136" t="n">
        <x:f>IF(C10=0,0,ROUND(IF(B10='参数输入'!$B$8,K10-SUMIFS($M$3:$M$122,$A$3:$A$122,A10,$B$3:$B$122,"&lt;"&amp;B10),K10*J10),2))</x:f>
        <x:v>28.67</x:v>
      </x:c>
      <x:c r="N10" s="136" t="n">
        <x:f>IF(C10=0,0,ROUND(IF(B10='参数输入'!$B$8,L10-SUMIFS($N$3:$N$122,$A$3:$A$122,A10,$B$3:$B$122,"&lt;"&amp;B10),L10*J10),2))</x:f>
        <x:v>3.58</x:v>
      </x:c>
      <x:c r="O10" s="128" t="n">
        <x:v>0</x:v>
      </x:c>
      <x:c r="P10" s="136" t="n">
        <x:f>ROUND(I10+O10,2)</x:f>
        <x:v>1792.14</x:v>
      </x:c>
      <x:c r="Q10" s="123" t="n">
        <x:f>IF(C10=0,"",IF(B10=1,'参数输入'!$B$10,EDATE('参数输入'!$B$24,B10-1)+1))</x:f>
        <x:v>46451</x:v>
      </x:c>
      <x:c r="R10" s="123" t="n">
        <x:f>IF(C10=0,"",EDATE('参数输入'!$B$24,B10))</x:f>
        <x:v>46481</x:v>
      </x:c>
    </x:row>
    <x:row r="11">
      <x:c r="A11" s="101" t="str">
        <x:v>V01</x:v>
      </x:c>
      <x:c r="B11" s="101" t="n">
        <x:v>9</x:v>
      </x:c>
      <x:c r="C11" s="101" t="n">
        <x:f>IF(AND(SUM('车辆输入'!$B$5:$F$5)&gt;0,B11&lt;='参数输入'!$B$8),1,0)</x:f>
        <x:v>1</x:v>
      </x:c>
      <x:c r="D11" s="136" t="n">
        <x:f>IF(C11=1,ROUND(MAX('车辆输入'!$M$5-ROUND('车辆输入'!$M$5/'参数输入'!$B$8,2)*(B11-1),0),2),0)</x:f>
        <x:v>1792.18</x:v>
      </x:c>
      <x:c r="E11" s="136" t="n">
        <x:f>IF(AND(C11=1,B11&lt;='参数输入'!$B$9),ROUND(MAX('车辆输入'!$N$5-ROUND('车辆输入'!$N$5/MAX('参数输入'!$B$9,1),2)*(B11-1),0),2),0)</x:f>
        <x:v>0</x:v>
      </x:c>
      <x:c r="F11" s="136" t="n">
        <x:f>ROUND(D11+E11,2)</x:f>
        <x:v>1792.18</x:v>
      </x:c>
      <x:c r="G11" s="136" t="n">
        <x:f>IF(C11=0,0,ROUND(IF(B11='参数输入'!$B$8,D11,MIN(D11,ROUND('车辆输入'!$M$5/'参数输入'!$B$8,2))),2))</x:f>
        <x:v>1792.18</x:v>
      </x:c>
      <x:c r="H11" s="136" t="n">
        <x:f>IF(OR(C11=0,'参数输入'!$B$9=0,B11&gt;'参数输入'!$B$9),0,ROUND(IF(B11='参数输入'!$B$9,E11,MIN(E11,ROUND('车辆输入'!$N$5/'参数输入'!$B$9,2))),2))</x:f>
        <x:v>0</x:v>
      </x:c>
      <x:c r="I11" s="136" t="n">
        <x:f>ROUND(G11+H11,2)</x:f>
        <x:v>1792.18</x:v>
      </x:c>
      <x:c r="J11" s="137" t="n">
        <x:f>IF(C11=1,F11/SUMIFS($F$3:$F$122,$A$3:$A$122,A11,$C$3:$C$122,1),0)</x:f>
        <x:v>0.02222261901484823</x:v>
      </x:c>
      <x:c r="K11" s="136" t="n">
        <x:f>IF(C11=1,ROUND('车辆输入'!$K$5+'车辆输入'!$L$5,2),0)</x:f>
        <x:v>645.17</x:v>
      </x:c>
      <x:c r="L11" s="136" t="n">
        <x:f>IF(C11=1,ROUND(('车辆输入'!$M$5+'车辆输入'!$N$5)*'参数输入'!$B$20,2),0)</x:f>
        <x:v>80.65</x:v>
      </x:c>
      <x:c r="M11" s="136" t="n">
        <x:f>IF(C11=0,0,ROUND(IF(B11='参数输入'!$B$8,K11-SUMIFS($M$3:$M$122,$A$3:$A$122,A11,$B$3:$B$122,"&lt;"&amp;B11),K11*J11),2))</x:f>
        <x:v>14.34</x:v>
      </x:c>
      <x:c r="N11" s="136" t="n">
        <x:f>IF(C11=0,0,ROUND(IF(B11='参数输入'!$B$8,L11-SUMIFS($N$3:$N$122,$A$3:$A$122,A11,$B$3:$B$122,"&lt;"&amp;B11),L11*J11),2))</x:f>
        <x:v>1.79</x:v>
      </x:c>
      <x:c r="O11" s="128" t="n">
        <x:v>0</x:v>
      </x:c>
      <x:c r="P11" s="136" t="n">
        <x:f>ROUND(I11+O11,2)</x:f>
        <x:v>1792.18</x:v>
      </x:c>
      <x:c r="Q11" s="123" t="n">
        <x:f>IF(C11=0,"",IF(B11=1,'参数输入'!$B$10,EDATE('参数输入'!$B$24,B11-1)+1))</x:f>
        <x:v>46482</x:v>
      </x:c>
      <x:c r="R11" s="123" t="n">
        <x:f>IF(C11=0,"",EDATE('参数输入'!$B$24,B11))</x:f>
        <x:v>46511</x:v>
      </x:c>
    </x:row>
    <x:row r="12">
      <x:c r="A12" s="101" t="str">
        <x:v>V01</x:v>
      </x:c>
      <x:c r="B12" s="101" t="n">
        <x:v>10</x:v>
      </x:c>
      <x:c r="C12" s="101" t="n">
        <x:f>IF(AND(SUM('车辆输入'!$B$5:$F$5)&gt;0,B12&lt;='参数输入'!$B$8),1,0)</x:f>
        <x:v>0</x:v>
      </x:c>
      <x:c r="D12" s="136" t="n">
        <x:f>IF(C12=1,ROUND(MAX('车辆输入'!$M$5-ROUND('车辆输入'!$M$5/'参数输入'!$B$8,2)*(B12-1),0),2),0)</x:f>
        <x:v>0</x:v>
      </x:c>
      <x:c r="E12" s="136" t="n">
        <x:f>IF(AND(C12=1,B12&lt;='参数输入'!$B$9),ROUND(MAX('车辆输入'!$N$5-ROUND('车辆输入'!$N$5/MAX('参数输入'!$B$9,1),2)*(B12-1),0),2),0)</x:f>
        <x:v>0</x:v>
      </x:c>
      <x:c r="F12" s="136" t="n">
        <x:f>ROUND(D12+E12,2)</x:f>
        <x:v>0</x:v>
      </x:c>
      <x:c r="G12" s="136" t="n">
        <x:f>IF(C12=0,0,ROUND(IF(B12='参数输入'!$B$8,D12,MIN(D12,ROUND('车辆输入'!$M$5/'参数输入'!$B$8,2))),2))</x:f>
        <x:v>0</x:v>
      </x:c>
      <x:c r="H12" s="136" t="n">
        <x:f>IF(OR(C12=0,'参数输入'!$B$9=0,B12&gt;'参数输入'!$B$9),0,ROUND(IF(B12='参数输入'!$B$9,E12,MIN(E12,ROUND('车辆输入'!$N$5/'参数输入'!$B$9,2))),2))</x:f>
        <x:v>0</x:v>
      </x:c>
      <x:c r="I12" s="136" t="n">
        <x:f>ROUND(G12+H12,2)</x:f>
        <x:v>0</x:v>
      </x:c>
      <x:c r="J12" s="137" t="n">
        <x:f>IF(C12=1,F12/SUMIFS($F$3:$F$122,$A$3:$A$122,A12,$C$3:$C$122,1),0)</x:f>
        <x:v>0</x:v>
      </x:c>
      <x:c r="K12" s="136" t="n">
        <x:f>IF(C12=1,ROUND('车辆输入'!$K$5+'车辆输入'!$L$5,2),0)</x:f>
        <x:v>0</x:v>
      </x:c>
      <x:c r="L12" s="136" t="n">
        <x:f>IF(C12=1,ROUND(('车辆输入'!$M$5+'车辆输入'!$N$5)*'参数输入'!$B$20,2),0)</x:f>
        <x:v>0</x:v>
      </x:c>
      <x:c r="M12" s="136" t="n">
        <x:f>IF(C12=0,0,ROUND(IF(B12='参数输入'!$B$8,K12-SUMIFS($M$3:$M$122,$A$3:$A$122,A12,$B$3:$B$122,"&lt;"&amp;B12),K12*J12),2))</x:f>
        <x:v>0</x:v>
      </x:c>
      <x:c r="N12" s="136" t="n">
        <x:f>IF(C12=0,0,ROUND(IF(B12='参数输入'!$B$8,L12-SUMIFS($N$3:$N$122,$A$3:$A$122,A12,$B$3:$B$122,"&lt;"&amp;B12),L12*J12),2))</x:f>
        <x:v>0</x:v>
      </x:c>
      <x:c r="O12" s="128" t="n">
        <x:v>0</x:v>
      </x:c>
      <x:c r="P12" s="136" t="n">
        <x:f>ROUND(I12+O12,2)</x:f>
        <x:v>0</x:v>
      </x:c>
      <x:c r="Q12" s="123" t="str">
        <x:f>IF(C12=0,"",IF(B12=1,'参数输入'!$B$10,EDATE('参数输入'!$B$24,B12-1)+1))</x:f>
      </x:c>
      <x:c r="R12" s="123" t="str">
        <x:f>IF(C12=0,"",EDATE('参数输入'!$B$24,B12))</x:f>
      </x:c>
    </x:row>
    <x:row r="13">
      <x:c r="A13" s="101" t="str">
        <x:v>V01</x:v>
      </x:c>
      <x:c r="B13" s="101" t="n">
        <x:v>11</x:v>
      </x:c>
      <x:c r="C13" s="101" t="n">
        <x:f>IF(AND(SUM('车辆输入'!$B$5:$F$5)&gt;0,B13&lt;='参数输入'!$B$8),1,0)</x:f>
        <x:v>0</x:v>
      </x:c>
      <x:c r="D13" s="136" t="n">
        <x:f>IF(C13=1,ROUND(MAX('车辆输入'!$M$5-ROUND('车辆输入'!$M$5/'参数输入'!$B$8,2)*(B13-1),0),2),0)</x:f>
        <x:v>0</x:v>
      </x:c>
      <x:c r="E13" s="136" t="n">
        <x:f>IF(AND(C13=1,B13&lt;='参数输入'!$B$9),ROUND(MAX('车辆输入'!$N$5-ROUND('车辆输入'!$N$5/MAX('参数输入'!$B$9,1),2)*(B13-1),0),2),0)</x:f>
        <x:v>0</x:v>
      </x:c>
      <x:c r="F13" s="136" t="n">
        <x:f>ROUND(D13+E13,2)</x:f>
        <x:v>0</x:v>
      </x:c>
      <x:c r="G13" s="136" t="n">
        <x:f>IF(C13=0,0,ROUND(IF(B13='参数输入'!$B$8,D13,MIN(D13,ROUND('车辆输入'!$M$5/'参数输入'!$B$8,2))),2))</x:f>
        <x:v>0</x:v>
      </x:c>
      <x:c r="H13" s="136" t="n">
        <x:f>IF(OR(C13=0,'参数输入'!$B$9=0,B13&gt;'参数输入'!$B$9),0,ROUND(IF(B13='参数输入'!$B$9,E13,MIN(E13,ROUND('车辆输入'!$N$5/'参数输入'!$B$9,2))),2))</x:f>
        <x:v>0</x:v>
      </x:c>
      <x:c r="I13" s="136" t="n">
        <x:f>ROUND(G13+H13,2)</x:f>
        <x:v>0</x:v>
      </x:c>
      <x:c r="J13" s="137" t="n">
        <x:f>IF(C13=1,F13/SUMIFS($F$3:$F$122,$A$3:$A$122,A13,$C$3:$C$122,1),0)</x:f>
        <x:v>0</x:v>
      </x:c>
      <x:c r="K13" s="136" t="n">
        <x:f>IF(C13=1,ROUND('车辆输入'!$K$5+'车辆输入'!$L$5,2),0)</x:f>
        <x:v>0</x:v>
      </x:c>
      <x:c r="L13" s="136" t="n">
        <x:f>IF(C13=1,ROUND(('车辆输入'!$M$5+'车辆输入'!$N$5)*'参数输入'!$B$20,2),0)</x:f>
        <x:v>0</x:v>
      </x:c>
      <x:c r="M13" s="136" t="n">
        <x:f>IF(C13=0,0,ROUND(IF(B13='参数输入'!$B$8,K13-SUMIFS($M$3:$M$122,$A$3:$A$122,A13,$B$3:$B$122,"&lt;"&amp;B13),K13*J13),2))</x:f>
        <x:v>0</x:v>
      </x:c>
      <x:c r="N13" s="136" t="n">
        <x:f>IF(C13=0,0,ROUND(IF(B13='参数输入'!$B$8,L13-SUMIFS($N$3:$N$122,$A$3:$A$122,A13,$B$3:$B$122,"&lt;"&amp;B13),L13*J13),2))</x:f>
        <x:v>0</x:v>
      </x:c>
      <x:c r="O13" s="128" t="n">
        <x:v>0</x:v>
      </x:c>
      <x:c r="P13" s="136" t="n">
        <x:f>ROUND(I13+O13,2)</x:f>
        <x:v>0</x:v>
      </x:c>
      <x:c r="Q13" s="123" t="str">
        <x:f>IF(C13=0,"",IF(B13=1,'参数输入'!$B$10,EDATE('参数输入'!$B$24,B13-1)+1))</x:f>
      </x:c>
      <x:c r="R13" s="123" t="str">
        <x:f>IF(C13=0,"",EDATE('参数输入'!$B$24,B13))</x:f>
      </x:c>
    </x:row>
    <x:row r="14">
      <x:c r="A14" s="101" t="str">
        <x:v>V01</x:v>
      </x:c>
      <x:c r="B14" s="101" t="n">
        <x:v>12</x:v>
      </x:c>
      <x:c r="C14" s="101" t="n">
        <x:f>IF(AND(SUM('车辆输入'!$B$5:$F$5)&gt;0,B14&lt;='参数输入'!$B$8),1,0)</x:f>
        <x:v>0</x:v>
      </x:c>
      <x:c r="D14" s="136" t="n">
        <x:f>IF(C14=1,ROUND(MAX('车辆输入'!$M$5-ROUND('车辆输入'!$M$5/'参数输入'!$B$8,2)*(B14-1),0),2),0)</x:f>
        <x:v>0</x:v>
      </x:c>
      <x:c r="E14" s="136" t="n">
        <x:f>IF(AND(C14=1,B14&lt;='参数输入'!$B$9),ROUND(MAX('车辆输入'!$N$5-ROUND('车辆输入'!$N$5/MAX('参数输入'!$B$9,1),2)*(B14-1),0),2),0)</x:f>
        <x:v>0</x:v>
      </x:c>
      <x:c r="F14" s="136" t="n">
        <x:f>ROUND(D14+E14,2)</x:f>
        <x:v>0</x:v>
      </x:c>
      <x:c r="G14" s="136" t="n">
        <x:f>IF(C14=0,0,ROUND(IF(B14='参数输入'!$B$8,D14,MIN(D14,ROUND('车辆输入'!$M$5/'参数输入'!$B$8,2))),2))</x:f>
        <x:v>0</x:v>
      </x:c>
      <x:c r="H14" s="136" t="n">
        <x:f>IF(OR(C14=0,'参数输入'!$B$9=0,B14&gt;'参数输入'!$B$9),0,ROUND(IF(B14='参数输入'!$B$9,E14,MIN(E14,ROUND('车辆输入'!$N$5/'参数输入'!$B$9,2))),2))</x:f>
        <x:v>0</x:v>
      </x:c>
      <x:c r="I14" s="136" t="n">
        <x:f>ROUND(G14+H14,2)</x:f>
        <x:v>0</x:v>
      </x:c>
      <x:c r="J14" s="137" t="n">
        <x:f>IF(C14=1,F14/SUMIFS($F$3:$F$122,$A$3:$A$122,A14,$C$3:$C$122,1),0)</x:f>
        <x:v>0</x:v>
      </x:c>
      <x:c r="K14" s="136" t="n">
        <x:f>IF(C14=1,ROUND('车辆输入'!$K$5+'车辆输入'!$L$5,2),0)</x:f>
        <x:v>0</x:v>
      </x:c>
      <x:c r="L14" s="136" t="n">
        <x:f>IF(C14=1,ROUND(('车辆输入'!$M$5+'车辆输入'!$N$5)*'参数输入'!$B$20,2),0)</x:f>
        <x:v>0</x:v>
      </x:c>
      <x:c r="M14" s="136" t="n">
        <x:f>IF(C14=0,0,ROUND(IF(B14='参数输入'!$B$8,K14-SUMIFS($M$3:$M$122,$A$3:$A$122,A14,$B$3:$B$122,"&lt;"&amp;B14),K14*J14),2))</x:f>
        <x:v>0</x:v>
      </x:c>
      <x:c r="N14" s="136" t="n">
        <x:f>IF(C14=0,0,ROUND(IF(B14='参数输入'!$B$8,L14-SUMIFS($N$3:$N$122,$A$3:$A$122,A14,$B$3:$B$122,"&lt;"&amp;B14),L14*J14),2))</x:f>
        <x:v>0</x:v>
      </x:c>
      <x:c r="O14" s="128" t="n">
        <x:v>0</x:v>
      </x:c>
      <x:c r="P14" s="136" t="n">
        <x:f>ROUND(I14+O14,2)</x:f>
        <x:v>0</x:v>
      </x:c>
      <x:c r="Q14" s="123" t="str">
        <x:f>IF(C14=0,"",IF(B14=1,'参数输入'!$B$10,EDATE('参数输入'!$B$24,B14-1)+1))</x:f>
      </x:c>
      <x:c r="R14" s="123" t="str">
        <x:f>IF(C14=0,"",EDATE('参数输入'!$B$24,B14))</x:f>
      </x:c>
    </x:row>
    <x:row r="15">
      <x:c r="A15" s="101" t="str">
        <x:v>V02</x:v>
      </x:c>
      <x:c r="B15" s="101" t="n">
        <x:v>1</x:v>
      </x:c>
      <x:c r="C15" s="101" t="n">
        <x:f>IF(AND(SUM('车辆输入'!$B$6:$F$6)&gt;0,B15&lt;='参数输入'!$B$8),1,0)</x:f>
        <x:v>0</x:v>
      </x:c>
      <x:c r="D15" s="136" t="n">
        <x:f>IF(C15=1,ROUND(MAX('车辆输入'!$M$6-ROUND('车辆输入'!$M$6/'参数输入'!$B$8,2)*(B15-1),0),2),0)</x:f>
        <x:v>0</x:v>
      </x:c>
      <x:c r="E15" s="136" t="n">
        <x:f>IF(AND(C15=1,B15&lt;='参数输入'!$B$9),ROUND(MAX('车辆输入'!$N$6-ROUND('车辆输入'!$N$6/MAX('参数输入'!$B$9,1),2)*(B15-1),0),2),0)</x:f>
        <x:v>0</x:v>
      </x:c>
      <x:c r="F15" s="136" t="n">
        <x:f>ROUND(D15+E15,2)</x:f>
        <x:v>0</x:v>
      </x:c>
      <x:c r="G15" s="136" t="n">
        <x:f>IF(C15=0,0,ROUND(IF(B15='参数输入'!$B$8,D15,MIN(D15,ROUND('车辆输入'!$M$6/'参数输入'!$B$8,2))),2))</x:f>
        <x:v>0</x:v>
      </x:c>
      <x:c r="H15" s="136" t="n">
        <x:f>IF(OR(C15=0,'参数输入'!$B$9=0,B15&gt;'参数输入'!$B$9),0,ROUND(IF(B15='参数输入'!$B$9,E15,MIN(E15,ROUND('车辆输入'!$N$6/'参数输入'!$B$9,2))),2))</x:f>
        <x:v>0</x:v>
      </x:c>
      <x:c r="I15" s="136" t="n">
        <x:f>ROUND(G15+H15,2)</x:f>
        <x:v>0</x:v>
      </x:c>
      <x:c r="J15" s="137" t="n">
        <x:f>IF(C15=1,F15/SUMIFS($F$3:$F$122,$A$3:$A$122,A15,$C$3:$C$122,1),0)</x:f>
        <x:v>0</x:v>
      </x:c>
      <x:c r="K15" s="136" t="n">
        <x:f>IF(C15=1,ROUND('车辆输入'!$K$6+'车辆输入'!$L$6,2),0)</x:f>
        <x:v>0</x:v>
      </x:c>
      <x:c r="L15" s="136" t="n">
        <x:f>IF(C15=1,ROUND(('车辆输入'!$M$6+'车辆输入'!$N$6)*'参数输入'!$B$20,2),0)</x:f>
        <x:v>0</x:v>
      </x:c>
      <x:c r="M15" s="136" t="n">
        <x:f>IF(C15=0,0,ROUND(IF(B15='参数输入'!$B$8,K15-SUMIFS($M$3:$M$122,$A$3:$A$122,A15,$B$3:$B$122,"&lt;"&amp;B15),K15*J15),2))</x:f>
        <x:v>0</x:v>
      </x:c>
      <x:c r="N15" s="136" t="n">
        <x:f>IF(C15=0,0,ROUND(IF(B15='参数输入'!$B$8,L15-SUMIFS($N$3:$N$122,$A$3:$A$122,A15,$B$3:$B$122,"&lt;"&amp;B15),L15*J15),2))</x:f>
        <x:v>0</x:v>
      </x:c>
      <x:c r="O15" s="128" t="n">
        <x:v>0</x:v>
      </x:c>
      <x:c r="P15" s="136" t="n">
        <x:f>ROUND(I15+O15,2)</x:f>
        <x:v>0</x:v>
      </x:c>
      <x:c r="Q15" s="123" t="str">
        <x:f>IF(C15=0,"",IF(B15=1,'参数输入'!$B$10,EDATE('参数输入'!$B$24,B15-1)+1))</x:f>
      </x:c>
      <x:c r="R15" s="123" t="str">
        <x:f>IF(C15=0,"",EDATE('参数输入'!$B$24,B15))</x:f>
      </x:c>
    </x:row>
    <x:row r="16">
      <x:c r="A16" s="101" t="str">
        <x:v>V02</x:v>
      </x:c>
      <x:c r="B16" s="101" t="n">
        <x:v>2</x:v>
      </x:c>
      <x:c r="C16" s="101" t="n">
        <x:f>IF(AND(SUM('车辆输入'!$B$6:$F$6)&gt;0,B16&lt;='参数输入'!$B$8),1,0)</x:f>
        <x:v>0</x:v>
      </x:c>
      <x:c r="D16" s="136" t="n">
        <x:f>IF(C16=1,ROUND(MAX('车辆输入'!$M$6-ROUND('车辆输入'!$M$6/'参数输入'!$B$8,2)*(B16-1),0),2),0)</x:f>
        <x:v>0</x:v>
      </x:c>
      <x:c r="E16" s="136" t="n">
        <x:f>IF(AND(C16=1,B16&lt;='参数输入'!$B$9),ROUND(MAX('车辆输入'!$N$6-ROUND('车辆输入'!$N$6/MAX('参数输入'!$B$9,1),2)*(B16-1),0),2),0)</x:f>
        <x:v>0</x:v>
      </x:c>
      <x:c r="F16" s="136" t="n">
        <x:f>ROUND(D16+E16,2)</x:f>
        <x:v>0</x:v>
      </x:c>
      <x:c r="G16" s="136" t="n">
        <x:f>IF(C16=0,0,ROUND(IF(B16='参数输入'!$B$8,D16,MIN(D16,ROUND('车辆输入'!$M$6/'参数输入'!$B$8,2))),2))</x:f>
        <x:v>0</x:v>
      </x:c>
      <x:c r="H16" s="136" t="n">
        <x:f>IF(OR(C16=0,'参数输入'!$B$9=0,B16&gt;'参数输入'!$B$9),0,ROUND(IF(B16='参数输入'!$B$9,E16,MIN(E16,ROUND('车辆输入'!$N$6/'参数输入'!$B$9,2))),2))</x:f>
        <x:v>0</x:v>
      </x:c>
      <x:c r="I16" s="136" t="n">
        <x:f>ROUND(G16+H16,2)</x:f>
        <x:v>0</x:v>
      </x:c>
      <x:c r="J16" s="137" t="n">
        <x:f>IF(C16=1,F16/SUMIFS($F$3:$F$122,$A$3:$A$122,A16,$C$3:$C$122,1),0)</x:f>
        <x:v>0</x:v>
      </x:c>
      <x:c r="K16" s="136" t="n">
        <x:f>IF(C16=1,ROUND('车辆输入'!$K$6+'车辆输入'!$L$6,2),0)</x:f>
        <x:v>0</x:v>
      </x:c>
      <x:c r="L16" s="136" t="n">
        <x:f>IF(C16=1,ROUND(('车辆输入'!$M$6+'车辆输入'!$N$6)*'参数输入'!$B$20,2),0)</x:f>
        <x:v>0</x:v>
      </x:c>
      <x:c r="M16" s="136" t="n">
        <x:f>IF(C16=0,0,ROUND(IF(B16='参数输入'!$B$8,K16-SUMIFS($M$3:$M$122,$A$3:$A$122,A16,$B$3:$B$122,"&lt;"&amp;B16),K16*J16),2))</x:f>
        <x:v>0</x:v>
      </x:c>
      <x:c r="N16" s="136" t="n">
        <x:f>IF(C16=0,0,ROUND(IF(B16='参数输入'!$B$8,L16-SUMIFS($N$3:$N$122,$A$3:$A$122,A16,$B$3:$B$122,"&lt;"&amp;B16),L16*J16),2))</x:f>
        <x:v>0</x:v>
      </x:c>
      <x:c r="O16" s="128" t="n">
        <x:v>0</x:v>
      </x:c>
      <x:c r="P16" s="136" t="n">
        <x:f>ROUND(I16+O16,2)</x:f>
        <x:v>0</x:v>
      </x:c>
      <x:c r="Q16" s="123" t="str">
        <x:f>IF(C16=0,"",IF(B16=1,'参数输入'!$B$10,EDATE('参数输入'!$B$24,B16-1)+1))</x:f>
      </x:c>
      <x:c r="R16" s="123" t="str">
        <x:f>IF(C16=0,"",EDATE('参数输入'!$B$24,B16))</x:f>
      </x:c>
    </x:row>
    <x:row r="17">
      <x:c r="A17" s="101" t="str">
        <x:v>V02</x:v>
      </x:c>
      <x:c r="B17" s="101" t="n">
        <x:v>3</x:v>
      </x:c>
      <x:c r="C17" s="101" t="n">
        <x:f>IF(AND(SUM('车辆输入'!$B$6:$F$6)&gt;0,B17&lt;='参数输入'!$B$8),1,0)</x:f>
        <x:v>0</x:v>
      </x:c>
      <x:c r="D17" s="136" t="n">
        <x:f>IF(C17=1,ROUND(MAX('车辆输入'!$M$6-ROUND('车辆输入'!$M$6/'参数输入'!$B$8,2)*(B17-1),0),2),0)</x:f>
        <x:v>0</x:v>
      </x:c>
      <x:c r="E17" s="136" t="n">
        <x:f>IF(AND(C17=1,B17&lt;='参数输入'!$B$9),ROUND(MAX('车辆输入'!$N$6-ROUND('车辆输入'!$N$6/MAX('参数输入'!$B$9,1),2)*(B17-1),0),2),0)</x:f>
        <x:v>0</x:v>
      </x:c>
      <x:c r="F17" s="136" t="n">
        <x:f>ROUND(D17+E17,2)</x:f>
        <x:v>0</x:v>
      </x:c>
      <x:c r="G17" s="136" t="n">
        <x:f>IF(C17=0,0,ROUND(IF(B17='参数输入'!$B$8,D17,MIN(D17,ROUND('车辆输入'!$M$6/'参数输入'!$B$8,2))),2))</x:f>
        <x:v>0</x:v>
      </x:c>
      <x:c r="H17" s="136" t="n">
        <x:f>IF(OR(C17=0,'参数输入'!$B$9=0,B17&gt;'参数输入'!$B$9),0,ROUND(IF(B17='参数输入'!$B$9,E17,MIN(E17,ROUND('车辆输入'!$N$6/'参数输入'!$B$9,2))),2))</x:f>
        <x:v>0</x:v>
      </x:c>
      <x:c r="I17" s="136" t="n">
        <x:f>ROUND(G17+H17,2)</x:f>
        <x:v>0</x:v>
      </x:c>
      <x:c r="J17" s="137" t="n">
        <x:f>IF(C17=1,F17/SUMIFS($F$3:$F$122,$A$3:$A$122,A17,$C$3:$C$122,1),0)</x:f>
        <x:v>0</x:v>
      </x:c>
      <x:c r="K17" s="136" t="n">
        <x:f>IF(C17=1,ROUND('车辆输入'!$K$6+'车辆输入'!$L$6,2),0)</x:f>
        <x:v>0</x:v>
      </x:c>
      <x:c r="L17" s="136" t="n">
        <x:f>IF(C17=1,ROUND(('车辆输入'!$M$6+'车辆输入'!$N$6)*'参数输入'!$B$20,2),0)</x:f>
        <x:v>0</x:v>
      </x:c>
      <x:c r="M17" s="136" t="n">
        <x:f>IF(C17=0,0,ROUND(IF(B17='参数输入'!$B$8,K17-SUMIFS($M$3:$M$122,$A$3:$A$122,A17,$B$3:$B$122,"&lt;"&amp;B17),K17*J17),2))</x:f>
        <x:v>0</x:v>
      </x:c>
      <x:c r="N17" s="136" t="n">
        <x:f>IF(C17=0,0,ROUND(IF(B17='参数输入'!$B$8,L17-SUMIFS($N$3:$N$122,$A$3:$A$122,A17,$B$3:$B$122,"&lt;"&amp;B17),L17*J17),2))</x:f>
        <x:v>0</x:v>
      </x:c>
      <x:c r="O17" s="128" t="n">
        <x:v>0</x:v>
      </x:c>
      <x:c r="P17" s="136" t="n">
        <x:f>ROUND(I17+O17,2)</x:f>
        <x:v>0</x:v>
      </x:c>
      <x:c r="Q17" s="123" t="str">
        <x:f>IF(C17=0,"",IF(B17=1,'参数输入'!$B$10,EDATE('参数输入'!$B$24,B17-1)+1))</x:f>
      </x:c>
      <x:c r="R17" s="123" t="str">
        <x:f>IF(C17=0,"",EDATE('参数输入'!$B$24,B17))</x:f>
      </x:c>
    </x:row>
    <x:row r="18">
      <x:c r="A18" s="101" t="str">
        <x:v>V02</x:v>
      </x:c>
      <x:c r="B18" s="101" t="n">
        <x:v>4</x:v>
      </x:c>
      <x:c r="C18" s="101" t="n">
        <x:f>IF(AND(SUM('车辆输入'!$B$6:$F$6)&gt;0,B18&lt;='参数输入'!$B$8),1,0)</x:f>
        <x:v>0</x:v>
      </x:c>
      <x:c r="D18" s="136" t="n">
        <x:f>IF(C18=1,ROUND(MAX('车辆输入'!$M$6-ROUND('车辆输入'!$M$6/'参数输入'!$B$8,2)*(B18-1),0),2),0)</x:f>
        <x:v>0</x:v>
      </x:c>
      <x:c r="E18" s="136" t="n">
        <x:f>IF(AND(C18=1,B18&lt;='参数输入'!$B$9),ROUND(MAX('车辆输入'!$N$6-ROUND('车辆输入'!$N$6/MAX('参数输入'!$B$9,1),2)*(B18-1),0),2),0)</x:f>
        <x:v>0</x:v>
      </x:c>
      <x:c r="F18" s="136" t="n">
        <x:f>ROUND(D18+E18,2)</x:f>
        <x:v>0</x:v>
      </x:c>
      <x:c r="G18" s="136" t="n">
        <x:f>IF(C18=0,0,ROUND(IF(B18='参数输入'!$B$8,D18,MIN(D18,ROUND('车辆输入'!$M$6/'参数输入'!$B$8,2))),2))</x:f>
        <x:v>0</x:v>
      </x:c>
      <x:c r="H18" s="136" t="n">
        <x:f>IF(OR(C18=0,'参数输入'!$B$9=0,B18&gt;'参数输入'!$B$9),0,ROUND(IF(B18='参数输入'!$B$9,E18,MIN(E18,ROUND('车辆输入'!$N$6/'参数输入'!$B$9,2))),2))</x:f>
        <x:v>0</x:v>
      </x:c>
      <x:c r="I18" s="136" t="n">
        <x:f>ROUND(G18+H18,2)</x:f>
        <x:v>0</x:v>
      </x:c>
      <x:c r="J18" s="137" t="n">
        <x:f>IF(C18=1,F18/SUMIFS($F$3:$F$122,$A$3:$A$122,A18,$C$3:$C$122,1),0)</x:f>
        <x:v>0</x:v>
      </x:c>
      <x:c r="K18" s="136" t="n">
        <x:f>IF(C18=1,ROUND('车辆输入'!$K$6+'车辆输入'!$L$6,2),0)</x:f>
        <x:v>0</x:v>
      </x:c>
      <x:c r="L18" s="136" t="n">
        <x:f>IF(C18=1,ROUND(('车辆输入'!$M$6+'车辆输入'!$N$6)*'参数输入'!$B$20,2),0)</x:f>
        <x:v>0</x:v>
      </x:c>
      <x:c r="M18" s="136" t="n">
        <x:f>IF(C18=0,0,ROUND(IF(B18='参数输入'!$B$8,K18-SUMIFS($M$3:$M$122,$A$3:$A$122,A18,$B$3:$B$122,"&lt;"&amp;B18),K18*J18),2))</x:f>
        <x:v>0</x:v>
      </x:c>
      <x:c r="N18" s="136" t="n">
        <x:f>IF(C18=0,0,ROUND(IF(B18='参数输入'!$B$8,L18-SUMIFS($N$3:$N$122,$A$3:$A$122,A18,$B$3:$B$122,"&lt;"&amp;B18),L18*J18),2))</x:f>
        <x:v>0</x:v>
      </x:c>
      <x:c r="O18" s="128" t="n">
        <x:v>0</x:v>
      </x:c>
      <x:c r="P18" s="136" t="n">
        <x:f>ROUND(I18+O18,2)</x:f>
        <x:v>0</x:v>
      </x:c>
      <x:c r="Q18" s="123" t="str">
        <x:f>IF(C18=0,"",IF(B18=1,'参数输入'!$B$10,EDATE('参数输入'!$B$24,B18-1)+1))</x:f>
      </x:c>
      <x:c r="R18" s="123" t="str">
        <x:f>IF(C18=0,"",EDATE('参数输入'!$B$24,B18))</x:f>
      </x:c>
    </x:row>
    <x:row r="19">
      <x:c r="A19" s="101" t="str">
        <x:v>V02</x:v>
      </x:c>
      <x:c r="B19" s="101" t="n">
        <x:v>5</x:v>
      </x:c>
      <x:c r="C19" s="101" t="n">
        <x:f>IF(AND(SUM('车辆输入'!$B$6:$F$6)&gt;0,B19&lt;='参数输入'!$B$8),1,0)</x:f>
        <x:v>0</x:v>
      </x:c>
      <x:c r="D19" s="136" t="n">
        <x:f>IF(C19=1,ROUND(MAX('车辆输入'!$M$6-ROUND('车辆输入'!$M$6/'参数输入'!$B$8,2)*(B19-1),0),2),0)</x:f>
        <x:v>0</x:v>
      </x:c>
      <x:c r="E19" s="136" t="n">
        <x:f>IF(AND(C19=1,B19&lt;='参数输入'!$B$9),ROUND(MAX('车辆输入'!$N$6-ROUND('车辆输入'!$N$6/MAX('参数输入'!$B$9,1),2)*(B19-1),0),2),0)</x:f>
        <x:v>0</x:v>
      </x:c>
      <x:c r="F19" s="136" t="n">
        <x:f>ROUND(D19+E19,2)</x:f>
        <x:v>0</x:v>
      </x:c>
      <x:c r="G19" s="136" t="n">
        <x:f>IF(C19=0,0,ROUND(IF(B19='参数输入'!$B$8,D19,MIN(D19,ROUND('车辆输入'!$M$6/'参数输入'!$B$8,2))),2))</x:f>
        <x:v>0</x:v>
      </x:c>
      <x:c r="H19" s="136" t="n">
        <x:f>IF(OR(C19=0,'参数输入'!$B$9=0,B19&gt;'参数输入'!$B$9),0,ROUND(IF(B19='参数输入'!$B$9,E19,MIN(E19,ROUND('车辆输入'!$N$6/'参数输入'!$B$9,2))),2))</x:f>
        <x:v>0</x:v>
      </x:c>
      <x:c r="I19" s="136" t="n">
        <x:f>ROUND(G19+H19,2)</x:f>
        <x:v>0</x:v>
      </x:c>
      <x:c r="J19" s="137" t="n">
        <x:f>IF(C19=1,F19/SUMIFS($F$3:$F$122,$A$3:$A$122,A19,$C$3:$C$122,1),0)</x:f>
        <x:v>0</x:v>
      </x:c>
      <x:c r="K19" s="136" t="n">
        <x:f>IF(C19=1,ROUND('车辆输入'!$K$6+'车辆输入'!$L$6,2),0)</x:f>
        <x:v>0</x:v>
      </x:c>
      <x:c r="L19" s="136" t="n">
        <x:f>IF(C19=1,ROUND(('车辆输入'!$M$6+'车辆输入'!$N$6)*'参数输入'!$B$20,2),0)</x:f>
        <x:v>0</x:v>
      </x:c>
      <x:c r="M19" s="136" t="n">
        <x:f>IF(C19=0,0,ROUND(IF(B19='参数输入'!$B$8,K19-SUMIFS($M$3:$M$122,$A$3:$A$122,A19,$B$3:$B$122,"&lt;"&amp;B19),K19*J19),2))</x:f>
        <x:v>0</x:v>
      </x:c>
      <x:c r="N19" s="136" t="n">
        <x:f>IF(C19=0,0,ROUND(IF(B19='参数输入'!$B$8,L19-SUMIFS($N$3:$N$122,$A$3:$A$122,A19,$B$3:$B$122,"&lt;"&amp;B19),L19*J19),2))</x:f>
        <x:v>0</x:v>
      </x:c>
      <x:c r="O19" s="128" t="n">
        <x:v>0</x:v>
      </x:c>
      <x:c r="P19" s="136" t="n">
        <x:f>ROUND(I19+O19,2)</x:f>
        <x:v>0</x:v>
      </x:c>
      <x:c r="Q19" s="123" t="str">
        <x:f>IF(C19=0,"",IF(B19=1,'参数输入'!$B$10,EDATE('参数输入'!$B$24,B19-1)+1))</x:f>
      </x:c>
      <x:c r="R19" s="123" t="str">
        <x:f>IF(C19=0,"",EDATE('参数输入'!$B$24,B19))</x:f>
      </x:c>
    </x:row>
    <x:row r="20">
      <x:c r="A20" s="101" t="str">
        <x:v>V02</x:v>
      </x:c>
      <x:c r="B20" s="101" t="n">
        <x:v>6</x:v>
      </x:c>
      <x:c r="C20" s="101" t="n">
        <x:f>IF(AND(SUM('车辆输入'!$B$6:$F$6)&gt;0,B20&lt;='参数输入'!$B$8),1,0)</x:f>
        <x:v>0</x:v>
      </x:c>
      <x:c r="D20" s="136" t="n">
        <x:f>IF(C20=1,ROUND(MAX('车辆输入'!$M$6-ROUND('车辆输入'!$M$6/'参数输入'!$B$8,2)*(B20-1),0),2),0)</x:f>
        <x:v>0</x:v>
      </x:c>
      <x:c r="E20" s="136" t="n">
        <x:f>IF(AND(C20=1,B20&lt;='参数输入'!$B$9),ROUND(MAX('车辆输入'!$N$6-ROUND('车辆输入'!$N$6/MAX('参数输入'!$B$9,1),2)*(B20-1),0),2),0)</x:f>
        <x:v>0</x:v>
      </x:c>
      <x:c r="F20" s="136" t="n">
        <x:f>ROUND(D20+E20,2)</x:f>
        <x:v>0</x:v>
      </x:c>
      <x:c r="G20" s="136" t="n">
        <x:f>IF(C20=0,0,ROUND(IF(B20='参数输入'!$B$8,D20,MIN(D20,ROUND('车辆输入'!$M$6/'参数输入'!$B$8,2))),2))</x:f>
        <x:v>0</x:v>
      </x:c>
      <x:c r="H20" s="136" t="n">
        <x:f>IF(OR(C20=0,'参数输入'!$B$9=0,B20&gt;'参数输入'!$B$9),0,ROUND(IF(B20='参数输入'!$B$9,E20,MIN(E20,ROUND('车辆输入'!$N$6/'参数输入'!$B$9,2))),2))</x:f>
        <x:v>0</x:v>
      </x:c>
      <x:c r="I20" s="136" t="n">
        <x:f>ROUND(G20+H20,2)</x:f>
        <x:v>0</x:v>
      </x:c>
      <x:c r="J20" s="137" t="n">
        <x:f>IF(C20=1,F20/SUMIFS($F$3:$F$122,$A$3:$A$122,A20,$C$3:$C$122,1),0)</x:f>
        <x:v>0</x:v>
      </x:c>
      <x:c r="K20" s="136" t="n">
        <x:f>IF(C20=1,ROUND('车辆输入'!$K$6+'车辆输入'!$L$6,2),0)</x:f>
        <x:v>0</x:v>
      </x:c>
      <x:c r="L20" s="136" t="n">
        <x:f>IF(C20=1,ROUND(('车辆输入'!$M$6+'车辆输入'!$N$6)*'参数输入'!$B$20,2),0)</x:f>
        <x:v>0</x:v>
      </x:c>
      <x:c r="M20" s="136" t="n">
        <x:f>IF(C20=0,0,ROUND(IF(B20='参数输入'!$B$8,K20-SUMIFS($M$3:$M$122,$A$3:$A$122,A20,$B$3:$B$122,"&lt;"&amp;B20),K20*J20),2))</x:f>
        <x:v>0</x:v>
      </x:c>
      <x:c r="N20" s="136" t="n">
        <x:f>IF(C20=0,0,ROUND(IF(B20='参数输入'!$B$8,L20-SUMIFS($N$3:$N$122,$A$3:$A$122,A20,$B$3:$B$122,"&lt;"&amp;B20),L20*J20),2))</x:f>
        <x:v>0</x:v>
      </x:c>
      <x:c r="O20" s="128" t="n">
        <x:v>0</x:v>
      </x:c>
      <x:c r="P20" s="136" t="n">
        <x:f>ROUND(I20+O20,2)</x:f>
        <x:v>0</x:v>
      </x:c>
      <x:c r="Q20" s="123" t="str">
        <x:f>IF(C20=0,"",IF(B20=1,'参数输入'!$B$10,EDATE('参数输入'!$B$24,B20-1)+1))</x:f>
      </x:c>
      <x:c r="R20" s="123" t="str">
        <x:f>IF(C20=0,"",EDATE('参数输入'!$B$24,B20))</x:f>
      </x:c>
    </x:row>
    <x:row r="21">
      <x:c r="A21" s="101" t="str">
        <x:v>V02</x:v>
      </x:c>
      <x:c r="B21" s="101" t="n">
        <x:v>7</x:v>
      </x:c>
      <x:c r="C21" s="101" t="n">
        <x:f>IF(AND(SUM('车辆输入'!$B$6:$F$6)&gt;0,B21&lt;='参数输入'!$B$8),1,0)</x:f>
        <x:v>0</x:v>
      </x:c>
      <x:c r="D21" s="136" t="n">
        <x:f>IF(C21=1,ROUND(MAX('车辆输入'!$M$6-ROUND('车辆输入'!$M$6/'参数输入'!$B$8,2)*(B21-1),0),2),0)</x:f>
        <x:v>0</x:v>
      </x:c>
      <x:c r="E21" s="136" t="n">
        <x:f>IF(AND(C21=1,B21&lt;='参数输入'!$B$9),ROUND(MAX('车辆输入'!$N$6-ROUND('车辆输入'!$N$6/MAX('参数输入'!$B$9,1),2)*(B21-1),0),2),0)</x:f>
        <x:v>0</x:v>
      </x:c>
      <x:c r="F21" s="136" t="n">
        <x:f>ROUND(D21+E21,2)</x:f>
        <x:v>0</x:v>
      </x:c>
      <x:c r="G21" s="136" t="n">
        <x:f>IF(C21=0,0,ROUND(IF(B21='参数输入'!$B$8,D21,MIN(D21,ROUND('车辆输入'!$M$6/'参数输入'!$B$8,2))),2))</x:f>
        <x:v>0</x:v>
      </x:c>
      <x:c r="H21" s="136" t="n">
        <x:f>IF(OR(C21=0,'参数输入'!$B$9=0,B21&gt;'参数输入'!$B$9),0,ROUND(IF(B21='参数输入'!$B$9,E21,MIN(E21,ROUND('车辆输入'!$N$6/'参数输入'!$B$9,2))),2))</x:f>
        <x:v>0</x:v>
      </x:c>
      <x:c r="I21" s="136" t="n">
        <x:f>ROUND(G21+H21,2)</x:f>
        <x:v>0</x:v>
      </x:c>
      <x:c r="J21" s="137" t="n">
        <x:f>IF(C21=1,F21/SUMIFS($F$3:$F$122,$A$3:$A$122,A21,$C$3:$C$122,1),0)</x:f>
        <x:v>0</x:v>
      </x:c>
      <x:c r="K21" s="136" t="n">
        <x:f>IF(C21=1,ROUND('车辆输入'!$K$6+'车辆输入'!$L$6,2),0)</x:f>
        <x:v>0</x:v>
      </x:c>
      <x:c r="L21" s="136" t="n">
        <x:f>IF(C21=1,ROUND(('车辆输入'!$M$6+'车辆输入'!$N$6)*'参数输入'!$B$20,2),0)</x:f>
        <x:v>0</x:v>
      </x:c>
      <x:c r="M21" s="136" t="n">
        <x:f>IF(C21=0,0,ROUND(IF(B21='参数输入'!$B$8,K21-SUMIFS($M$3:$M$122,$A$3:$A$122,A21,$B$3:$B$122,"&lt;"&amp;B21),K21*J21),2))</x:f>
        <x:v>0</x:v>
      </x:c>
      <x:c r="N21" s="136" t="n">
        <x:f>IF(C21=0,0,ROUND(IF(B21='参数输入'!$B$8,L21-SUMIFS($N$3:$N$122,$A$3:$A$122,A21,$B$3:$B$122,"&lt;"&amp;B21),L21*J21),2))</x:f>
        <x:v>0</x:v>
      </x:c>
      <x:c r="O21" s="128" t="n">
        <x:v>0</x:v>
      </x:c>
      <x:c r="P21" s="136" t="n">
        <x:f>ROUND(I21+O21,2)</x:f>
        <x:v>0</x:v>
      </x:c>
      <x:c r="Q21" s="123" t="str">
        <x:f>IF(C21=0,"",IF(B21=1,'参数输入'!$B$10,EDATE('参数输入'!$B$24,B21-1)+1))</x:f>
      </x:c>
      <x:c r="R21" s="123" t="str">
        <x:f>IF(C21=0,"",EDATE('参数输入'!$B$24,B21))</x:f>
      </x:c>
    </x:row>
    <x:row r="22">
      <x:c r="A22" s="101" t="str">
        <x:v>V02</x:v>
      </x:c>
      <x:c r="B22" s="101" t="n">
        <x:v>8</x:v>
      </x:c>
      <x:c r="C22" s="101" t="n">
        <x:f>IF(AND(SUM('车辆输入'!$B$6:$F$6)&gt;0,B22&lt;='参数输入'!$B$8),1,0)</x:f>
        <x:v>0</x:v>
      </x:c>
      <x:c r="D22" s="136" t="n">
        <x:f>IF(C22=1,ROUND(MAX('车辆输入'!$M$6-ROUND('车辆输入'!$M$6/'参数输入'!$B$8,2)*(B22-1),0),2),0)</x:f>
        <x:v>0</x:v>
      </x:c>
      <x:c r="E22" s="136" t="n">
        <x:f>IF(AND(C22=1,B22&lt;='参数输入'!$B$9),ROUND(MAX('车辆输入'!$N$6-ROUND('车辆输入'!$N$6/MAX('参数输入'!$B$9,1),2)*(B22-1),0),2),0)</x:f>
        <x:v>0</x:v>
      </x:c>
      <x:c r="F22" s="136" t="n">
        <x:f>ROUND(D22+E22,2)</x:f>
        <x:v>0</x:v>
      </x:c>
      <x:c r="G22" s="136" t="n">
        <x:f>IF(C22=0,0,ROUND(IF(B22='参数输入'!$B$8,D22,MIN(D22,ROUND('车辆输入'!$M$6/'参数输入'!$B$8,2))),2))</x:f>
        <x:v>0</x:v>
      </x:c>
      <x:c r="H22" s="136" t="n">
        <x:f>IF(OR(C22=0,'参数输入'!$B$9=0,B22&gt;'参数输入'!$B$9),0,ROUND(IF(B22='参数输入'!$B$9,E22,MIN(E22,ROUND('车辆输入'!$N$6/'参数输入'!$B$9,2))),2))</x:f>
        <x:v>0</x:v>
      </x:c>
      <x:c r="I22" s="136" t="n">
        <x:f>ROUND(G22+H22,2)</x:f>
        <x:v>0</x:v>
      </x:c>
      <x:c r="J22" s="137" t="n">
        <x:f>IF(C22=1,F22/SUMIFS($F$3:$F$122,$A$3:$A$122,A22,$C$3:$C$122,1),0)</x:f>
        <x:v>0</x:v>
      </x:c>
      <x:c r="K22" s="136" t="n">
        <x:f>IF(C22=1,ROUND('车辆输入'!$K$6+'车辆输入'!$L$6,2),0)</x:f>
        <x:v>0</x:v>
      </x:c>
      <x:c r="L22" s="136" t="n">
        <x:f>IF(C22=1,ROUND(('车辆输入'!$M$6+'车辆输入'!$N$6)*'参数输入'!$B$20,2),0)</x:f>
        <x:v>0</x:v>
      </x:c>
      <x:c r="M22" s="136" t="n">
        <x:f>IF(C22=0,0,ROUND(IF(B22='参数输入'!$B$8,K22-SUMIFS($M$3:$M$122,$A$3:$A$122,A22,$B$3:$B$122,"&lt;"&amp;B22),K22*J22),2))</x:f>
        <x:v>0</x:v>
      </x:c>
      <x:c r="N22" s="136" t="n">
        <x:f>IF(C22=0,0,ROUND(IF(B22='参数输入'!$B$8,L22-SUMIFS($N$3:$N$122,$A$3:$A$122,A22,$B$3:$B$122,"&lt;"&amp;B22),L22*J22),2))</x:f>
        <x:v>0</x:v>
      </x:c>
      <x:c r="O22" s="128" t="n">
        <x:v>0</x:v>
      </x:c>
      <x:c r="P22" s="136" t="n">
        <x:f>ROUND(I22+O22,2)</x:f>
        <x:v>0</x:v>
      </x:c>
      <x:c r="Q22" s="123" t="str">
        <x:f>IF(C22=0,"",IF(B22=1,'参数输入'!$B$10,EDATE('参数输入'!$B$24,B22-1)+1))</x:f>
      </x:c>
      <x:c r="R22" s="123" t="str">
        <x:f>IF(C22=0,"",EDATE('参数输入'!$B$24,B22))</x:f>
      </x:c>
    </x:row>
    <x:row r="23">
      <x:c r="A23" s="101" t="str">
        <x:v>V02</x:v>
      </x:c>
      <x:c r="B23" s="101" t="n">
        <x:v>9</x:v>
      </x:c>
      <x:c r="C23" s="101" t="n">
        <x:f>IF(AND(SUM('车辆输入'!$B$6:$F$6)&gt;0,B23&lt;='参数输入'!$B$8),1,0)</x:f>
        <x:v>0</x:v>
      </x:c>
      <x:c r="D23" s="136" t="n">
        <x:f>IF(C23=1,ROUND(MAX('车辆输入'!$M$6-ROUND('车辆输入'!$M$6/'参数输入'!$B$8,2)*(B23-1),0),2),0)</x:f>
        <x:v>0</x:v>
      </x:c>
      <x:c r="E23" s="136" t="n">
        <x:f>IF(AND(C23=1,B23&lt;='参数输入'!$B$9),ROUND(MAX('车辆输入'!$N$6-ROUND('车辆输入'!$N$6/MAX('参数输入'!$B$9,1),2)*(B23-1),0),2),0)</x:f>
        <x:v>0</x:v>
      </x:c>
      <x:c r="F23" s="136" t="n">
        <x:f>ROUND(D23+E23,2)</x:f>
        <x:v>0</x:v>
      </x:c>
      <x:c r="G23" s="136" t="n">
        <x:f>IF(C23=0,0,ROUND(IF(B23='参数输入'!$B$8,D23,MIN(D23,ROUND('车辆输入'!$M$6/'参数输入'!$B$8,2))),2))</x:f>
        <x:v>0</x:v>
      </x:c>
      <x:c r="H23" s="136" t="n">
        <x:f>IF(OR(C23=0,'参数输入'!$B$9=0,B23&gt;'参数输入'!$B$9),0,ROUND(IF(B23='参数输入'!$B$9,E23,MIN(E23,ROUND('车辆输入'!$N$6/'参数输入'!$B$9,2))),2))</x:f>
        <x:v>0</x:v>
      </x:c>
      <x:c r="I23" s="136" t="n">
        <x:f>ROUND(G23+H23,2)</x:f>
        <x:v>0</x:v>
      </x:c>
      <x:c r="J23" s="137" t="n">
        <x:f>IF(C23=1,F23/SUMIFS($F$3:$F$122,$A$3:$A$122,A23,$C$3:$C$122,1),0)</x:f>
        <x:v>0</x:v>
      </x:c>
      <x:c r="K23" s="136" t="n">
        <x:f>IF(C23=1,ROUND('车辆输入'!$K$6+'车辆输入'!$L$6,2),0)</x:f>
        <x:v>0</x:v>
      </x:c>
      <x:c r="L23" s="136" t="n">
        <x:f>IF(C23=1,ROUND(('车辆输入'!$M$6+'车辆输入'!$N$6)*'参数输入'!$B$20,2),0)</x:f>
        <x:v>0</x:v>
      </x:c>
      <x:c r="M23" s="136" t="n">
        <x:f>IF(C23=0,0,ROUND(IF(B23='参数输入'!$B$8,K23-SUMIFS($M$3:$M$122,$A$3:$A$122,A23,$B$3:$B$122,"&lt;"&amp;B23),K23*J23),2))</x:f>
        <x:v>0</x:v>
      </x:c>
      <x:c r="N23" s="136" t="n">
        <x:f>IF(C23=0,0,ROUND(IF(B23='参数输入'!$B$8,L23-SUMIFS($N$3:$N$122,$A$3:$A$122,A23,$B$3:$B$122,"&lt;"&amp;B23),L23*J23),2))</x:f>
        <x:v>0</x:v>
      </x:c>
      <x:c r="O23" s="128" t="n">
        <x:v>0</x:v>
      </x:c>
      <x:c r="P23" s="136" t="n">
        <x:f>ROUND(I23+O23,2)</x:f>
        <x:v>0</x:v>
      </x:c>
      <x:c r="Q23" s="123" t="str">
        <x:f>IF(C23=0,"",IF(B23=1,'参数输入'!$B$10,EDATE('参数输入'!$B$24,B23-1)+1))</x:f>
      </x:c>
      <x:c r="R23" s="123" t="str">
        <x:f>IF(C23=0,"",EDATE('参数输入'!$B$24,B23))</x:f>
      </x:c>
    </x:row>
    <x:row r="24">
      <x:c r="A24" s="101" t="str">
        <x:v>V02</x:v>
      </x:c>
      <x:c r="B24" s="101" t="n">
        <x:v>10</x:v>
      </x:c>
      <x:c r="C24" s="101" t="n">
        <x:f>IF(AND(SUM('车辆输入'!$B$6:$F$6)&gt;0,B24&lt;='参数输入'!$B$8),1,0)</x:f>
        <x:v>0</x:v>
      </x:c>
      <x:c r="D24" s="136" t="n">
        <x:f>IF(C24=1,ROUND(MAX('车辆输入'!$M$6-ROUND('车辆输入'!$M$6/'参数输入'!$B$8,2)*(B24-1),0),2),0)</x:f>
        <x:v>0</x:v>
      </x:c>
      <x:c r="E24" s="136" t="n">
        <x:f>IF(AND(C24=1,B24&lt;='参数输入'!$B$9),ROUND(MAX('车辆输入'!$N$6-ROUND('车辆输入'!$N$6/MAX('参数输入'!$B$9,1),2)*(B24-1),0),2),0)</x:f>
        <x:v>0</x:v>
      </x:c>
      <x:c r="F24" s="136" t="n">
        <x:f>ROUND(D24+E24,2)</x:f>
        <x:v>0</x:v>
      </x:c>
      <x:c r="G24" s="136" t="n">
        <x:f>IF(C24=0,0,ROUND(IF(B24='参数输入'!$B$8,D24,MIN(D24,ROUND('车辆输入'!$M$6/'参数输入'!$B$8,2))),2))</x:f>
        <x:v>0</x:v>
      </x:c>
      <x:c r="H24" s="136" t="n">
        <x:f>IF(OR(C24=0,'参数输入'!$B$9=0,B24&gt;'参数输入'!$B$9),0,ROUND(IF(B24='参数输入'!$B$9,E24,MIN(E24,ROUND('车辆输入'!$N$6/'参数输入'!$B$9,2))),2))</x:f>
        <x:v>0</x:v>
      </x:c>
      <x:c r="I24" s="136" t="n">
        <x:f>ROUND(G24+H24,2)</x:f>
        <x:v>0</x:v>
      </x:c>
      <x:c r="J24" s="137" t="n">
        <x:f>IF(C24=1,F24/SUMIFS($F$3:$F$122,$A$3:$A$122,A24,$C$3:$C$122,1),0)</x:f>
        <x:v>0</x:v>
      </x:c>
      <x:c r="K24" s="136" t="n">
        <x:f>IF(C24=1,ROUND('车辆输入'!$K$6+'车辆输入'!$L$6,2),0)</x:f>
        <x:v>0</x:v>
      </x:c>
      <x:c r="L24" s="136" t="n">
        <x:f>IF(C24=1,ROUND(('车辆输入'!$M$6+'车辆输入'!$N$6)*'参数输入'!$B$20,2),0)</x:f>
        <x:v>0</x:v>
      </x:c>
      <x:c r="M24" s="136" t="n">
        <x:f>IF(C24=0,0,ROUND(IF(B24='参数输入'!$B$8,K24-SUMIFS($M$3:$M$122,$A$3:$A$122,A24,$B$3:$B$122,"&lt;"&amp;B24),K24*J24),2))</x:f>
        <x:v>0</x:v>
      </x:c>
      <x:c r="N24" s="136" t="n">
        <x:f>IF(C24=0,0,ROUND(IF(B24='参数输入'!$B$8,L24-SUMIFS($N$3:$N$122,$A$3:$A$122,A24,$B$3:$B$122,"&lt;"&amp;B24),L24*J24),2))</x:f>
        <x:v>0</x:v>
      </x:c>
      <x:c r="O24" s="128" t="n">
        <x:v>0</x:v>
      </x:c>
      <x:c r="P24" s="136" t="n">
        <x:f>ROUND(I24+O24,2)</x:f>
        <x:v>0</x:v>
      </x:c>
      <x:c r="Q24" s="123" t="str">
        <x:f>IF(C24=0,"",IF(B24=1,'参数输入'!$B$10,EDATE('参数输入'!$B$24,B24-1)+1))</x:f>
      </x:c>
      <x:c r="R24" s="123" t="str">
        <x:f>IF(C24=0,"",EDATE('参数输入'!$B$24,B24))</x:f>
      </x:c>
    </x:row>
    <x:row r="25">
      <x:c r="A25" s="101" t="str">
        <x:v>V02</x:v>
      </x:c>
      <x:c r="B25" s="101" t="n">
        <x:v>11</x:v>
      </x:c>
      <x:c r="C25" s="101" t="n">
        <x:f>IF(AND(SUM('车辆输入'!$B$6:$F$6)&gt;0,B25&lt;='参数输入'!$B$8),1,0)</x:f>
        <x:v>0</x:v>
      </x:c>
      <x:c r="D25" s="136" t="n">
        <x:f>IF(C25=1,ROUND(MAX('车辆输入'!$M$6-ROUND('车辆输入'!$M$6/'参数输入'!$B$8,2)*(B25-1),0),2),0)</x:f>
        <x:v>0</x:v>
      </x:c>
      <x:c r="E25" s="136" t="n">
        <x:f>IF(AND(C25=1,B25&lt;='参数输入'!$B$9),ROUND(MAX('车辆输入'!$N$6-ROUND('车辆输入'!$N$6/MAX('参数输入'!$B$9,1),2)*(B25-1),0),2),0)</x:f>
        <x:v>0</x:v>
      </x:c>
      <x:c r="F25" s="136" t="n">
        <x:f>ROUND(D25+E25,2)</x:f>
        <x:v>0</x:v>
      </x:c>
      <x:c r="G25" s="136" t="n">
        <x:f>IF(C25=0,0,ROUND(IF(B25='参数输入'!$B$8,D25,MIN(D25,ROUND('车辆输入'!$M$6/'参数输入'!$B$8,2))),2))</x:f>
        <x:v>0</x:v>
      </x:c>
      <x:c r="H25" s="136" t="n">
        <x:f>IF(OR(C25=0,'参数输入'!$B$9=0,B25&gt;'参数输入'!$B$9),0,ROUND(IF(B25='参数输入'!$B$9,E25,MIN(E25,ROUND('车辆输入'!$N$6/'参数输入'!$B$9,2))),2))</x:f>
        <x:v>0</x:v>
      </x:c>
      <x:c r="I25" s="136" t="n">
        <x:f>ROUND(G25+H25,2)</x:f>
        <x:v>0</x:v>
      </x:c>
      <x:c r="J25" s="137" t="n">
        <x:f>IF(C25=1,F25/SUMIFS($F$3:$F$122,$A$3:$A$122,A25,$C$3:$C$122,1),0)</x:f>
        <x:v>0</x:v>
      </x:c>
      <x:c r="K25" s="136" t="n">
        <x:f>IF(C25=1,ROUND('车辆输入'!$K$6+'车辆输入'!$L$6,2),0)</x:f>
        <x:v>0</x:v>
      </x:c>
      <x:c r="L25" s="136" t="n">
        <x:f>IF(C25=1,ROUND(('车辆输入'!$M$6+'车辆输入'!$N$6)*'参数输入'!$B$20,2),0)</x:f>
        <x:v>0</x:v>
      </x:c>
      <x:c r="M25" s="136" t="n">
        <x:f>IF(C25=0,0,ROUND(IF(B25='参数输入'!$B$8,K25-SUMIFS($M$3:$M$122,$A$3:$A$122,A25,$B$3:$B$122,"&lt;"&amp;B25),K25*J25),2))</x:f>
        <x:v>0</x:v>
      </x:c>
      <x:c r="N25" s="136" t="n">
        <x:f>IF(C25=0,0,ROUND(IF(B25='参数输入'!$B$8,L25-SUMIFS($N$3:$N$122,$A$3:$A$122,A25,$B$3:$B$122,"&lt;"&amp;B25),L25*J25),2))</x:f>
        <x:v>0</x:v>
      </x:c>
      <x:c r="O25" s="128" t="n">
        <x:v>0</x:v>
      </x:c>
      <x:c r="P25" s="136" t="n">
        <x:f>ROUND(I25+O25,2)</x:f>
        <x:v>0</x:v>
      </x:c>
      <x:c r="Q25" s="123" t="str">
        <x:f>IF(C25=0,"",IF(B25=1,'参数输入'!$B$10,EDATE('参数输入'!$B$24,B25-1)+1))</x:f>
      </x:c>
      <x:c r="R25" s="123" t="str">
        <x:f>IF(C25=0,"",EDATE('参数输入'!$B$24,B25))</x:f>
      </x:c>
    </x:row>
    <x:row r="26">
      <x:c r="A26" s="101" t="str">
        <x:v>V02</x:v>
      </x:c>
      <x:c r="B26" s="101" t="n">
        <x:v>12</x:v>
      </x:c>
      <x:c r="C26" s="101" t="n">
        <x:f>IF(AND(SUM('车辆输入'!$B$6:$F$6)&gt;0,B26&lt;='参数输入'!$B$8),1,0)</x:f>
        <x:v>0</x:v>
      </x:c>
      <x:c r="D26" s="136" t="n">
        <x:f>IF(C26=1,ROUND(MAX('车辆输入'!$M$6-ROUND('车辆输入'!$M$6/'参数输入'!$B$8,2)*(B26-1),0),2),0)</x:f>
        <x:v>0</x:v>
      </x:c>
      <x:c r="E26" s="136" t="n">
        <x:f>IF(AND(C26=1,B26&lt;='参数输入'!$B$9),ROUND(MAX('车辆输入'!$N$6-ROUND('车辆输入'!$N$6/MAX('参数输入'!$B$9,1),2)*(B26-1),0),2),0)</x:f>
        <x:v>0</x:v>
      </x:c>
      <x:c r="F26" s="136" t="n">
        <x:f>ROUND(D26+E26,2)</x:f>
        <x:v>0</x:v>
      </x:c>
      <x:c r="G26" s="136" t="n">
        <x:f>IF(C26=0,0,ROUND(IF(B26='参数输入'!$B$8,D26,MIN(D26,ROUND('车辆输入'!$M$6/'参数输入'!$B$8,2))),2))</x:f>
        <x:v>0</x:v>
      </x:c>
      <x:c r="H26" s="136" t="n">
        <x:f>IF(OR(C26=0,'参数输入'!$B$9=0,B26&gt;'参数输入'!$B$9),0,ROUND(IF(B26='参数输入'!$B$9,E26,MIN(E26,ROUND('车辆输入'!$N$6/'参数输入'!$B$9,2))),2))</x:f>
        <x:v>0</x:v>
      </x:c>
      <x:c r="I26" s="136" t="n">
        <x:f>ROUND(G26+H26,2)</x:f>
        <x:v>0</x:v>
      </x:c>
      <x:c r="J26" s="137" t="n">
        <x:f>IF(C26=1,F26/SUMIFS($F$3:$F$122,$A$3:$A$122,A26,$C$3:$C$122,1),0)</x:f>
        <x:v>0</x:v>
      </x:c>
      <x:c r="K26" s="136" t="n">
        <x:f>IF(C26=1,ROUND('车辆输入'!$K$6+'车辆输入'!$L$6,2),0)</x:f>
        <x:v>0</x:v>
      </x:c>
      <x:c r="L26" s="136" t="n">
        <x:f>IF(C26=1,ROUND(('车辆输入'!$M$6+'车辆输入'!$N$6)*'参数输入'!$B$20,2),0)</x:f>
        <x:v>0</x:v>
      </x:c>
      <x:c r="M26" s="136" t="n">
        <x:f>IF(C26=0,0,ROUND(IF(B26='参数输入'!$B$8,K26-SUMIFS($M$3:$M$122,$A$3:$A$122,A26,$B$3:$B$122,"&lt;"&amp;B26),K26*J26),2))</x:f>
        <x:v>0</x:v>
      </x:c>
      <x:c r="N26" s="136" t="n">
        <x:f>IF(C26=0,0,ROUND(IF(B26='参数输入'!$B$8,L26-SUMIFS($N$3:$N$122,$A$3:$A$122,A26,$B$3:$B$122,"&lt;"&amp;B26),L26*J26),2))</x:f>
        <x:v>0</x:v>
      </x:c>
      <x:c r="O26" s="128" t="n">
        <x:v>0</x:v>
      </x:c>
      <x:c r="P26" s="136" t="n">
        <x:f>ROUND(I26+O26,2)</x:f>
        <x:v>0</x:v>
      </x:c>
      <x:c r="Q26" s="123" t="str">
        <x:f>IF(C26=0,"",IF(B26=1,'参数输入'!$B$10,EDATE('参数输入'!$B$24,B26-1)+1))</x:f>
      </x:c>
      <x:c r="R26" s="123" t="str">
        <x:f>IF(C26=0,"",EDATE('参数输入'!$B$24,B26))</x:f>
      </x:c>
    </x:row>
    <x:row r="27">
      <x:c r="A27" s="101" t="str">
        <x:v>V03</x:v>
      </x:c>
      <x:c r="B27" s="101" t="n">
        <x:v>1</x:v>
      </x:c>
      <x:c r="C27" s="101" t="n">
        <x:f>IF(AND(SUM('车辆输入'!$B$7:$F$7)&gt;0,B27&lt;='参数输入'!$B$8),1,0)</x:f>
        <x:v>0</x:v>
      </x:c>
      <x:c r="D27" s="136" t="n">
        <x:f>IF(C27=1,ROUND(MAX('车辆输入'!$M$7-ROUND('车辆输入'!$M$7/'参数输入'!$B$8,2)*(B27-1),0),2),0)</x:f>
        <x:v>0</x:v>
      </x:c>
      <x:c r="E27" s="136" t="n">
        <x:f>IF(AND(C27=1,B27&lt;='参数输入'!$B$9),ROUND(MAX('车辆输入'!$N$7-ROUND('车辆输入'!$N$7/MAX('参数输入'!$B$9,1),2)*(B27-1),0),2),0)</x:f>
        <x:v>0</x:v>
      </x:c>
      <x:c r="F27" s="136" t="n">
        <x:f>ROUND(D27+E27,2)</x:f>
        <x:v>0</x:v>
      </x:c>
      <x:c r="G27" s="136" t="n">
        <x:f>IF(C27=0,0,ROUND(IF(B27='参数输入'!$B$8,D27,MIN(D27,ROUND('车辆输入'!$M$7/'参数输入'!$B$8,2))),2))</x:f>
        <x:v>0</x:v>
      </x:c>
      <x:c r="H27" s="136" t="n">
        <x:f>IF(OR(C27=0,'参数输入'!$B$9=0,B27&gt;'参数输入'!$B$9),0,ROUND(IF(B27='参数输入'!$B$9,E27,MIN(E27,ROUND('车辆输入'!$N$7/'参数输入'!$B$9,2))),2))</x:f>
        <x:v>0</x:v>
      </x:c>
      <x:c r="I27" s="136" t="n">
        <x:f>ROUND(G27+H27,2)</x:f>
        <x:v>0</x:v>
      </x:c>
      <x:c r="J27" s="137" t="n">
        <x:f>IF(C27=1,F27/SUMIFS($F$3:$F$122,$A$3:$A$122,A27,$C$3:$C$122,1),0)</x:f>
        <x:v>0</x:v>
      </x:c>
      <x:c r="K27" s="136" t="n">
        <x:f>IF(C27=1,ROUND('车辆输入'!$K$7+'车辆输入'!$L$7,2),0)</x:f>
        <x:v>0</x:v>
      </x:c>
      <x:c r="L27" s="136" t="n">
        <x:f>IF(C27=1,ROUND(('车辆输入'!$M$7+'车辆输入'!$N$7)*'参数输入'!$B$20,2),0)</x:f>
        <x:v>0</x:v>
      </x:c>
      <x:c r="M27" s="136" t="n">
        <x:f>IF(C27=0,0,ROUND(IF(B27='参数输入'!$B$8,K27-SUMIFS($M$3:$M$122,$A$3:$A$122,A27,$B$3:$B$122,"&lt;"&amp;B27),K27*J27),2))</x:f>
        <x:v>0</x:v>
      </x:c>
      <x:c r="N27" s="136" t="n">
        <x:f>IF(C27=0,0,ROUND(IF(B27='参数输入'!$B$8,L27-SUMIFS($N$3:$N$122,$A$3:$A$122,A27,$B$3:$B$122,"&lt;"&amp;B27),L27*J27),2))</x:f>
        <x:v>0</x:v>
      </x:c>
      <x:c r="O27" s="128" t="n">
        <x:v>0</x:v>
      </x:c>
      <x:c r="P27" s="136" t="n">
        <x:f>ROUND(I27+O27,2)</x:f>
        <x:v>0</x:v>
      </x:c>
      <x:c r="Q27" s="123" t="str">
        <x:f>IF(C27=0,"",IF(B27=1,'参数输入'!$B$10,EDATE('参数输入'!$B$24,B27-1)+1))</x:f>
      </x:c>
      <x:c r="R27" s="123" t="str">
        <x:f>IF(C27=0,"",EDATE('参数输入'!$B$24,B27))</x:f>
      </x:c>
    </x:row>
    <x:row r="28">
      <x:c r="A28" s="101" t="str">
        <x:v>V03</x:v>
      </x:c>
      <x:c r="B28" s="101" t="n">
        <x:v>2</x:v>
      </x:c>
      <x:c r="C28" s="101" t="n">
        <x:f>IF(AND(SUM('车辆输入'!$B$7:$F$7)&gt;0,B28&lt;='参数输入'!$B$8),1,0)</x:f>
        <x:v>0</x:v>
      </x:c>
      <x:c r="D28" s="136" t="n">
        <x:f>IF(C28=1,ROUND(MAX('车辆输入'!$M$7-ROUND('车辆输入'!$M$7/'参数输入'!$B$8,2)*(B28-1),0),2),0)</x:f>
        <x:v>0</x:v>
      </x:c>
      <x:c r="E28" s="136" t="n">
        <x:f>IF(AND(C28=1,B28&lt;='参数输入'!$B$9),ROUND(MAX('车辆输入'!$N$7-ROUND('车辆输入'!$N$7/MAX('参数输入'!$B$9,1),2)*(B28-1),0),2),0)</x:f>
        <x:v>0</x:v>
      </x:c>
      <x:c r="F28" s="136" t="n">
        <x:f>ROUND(D28+E28,2)</x:f>
        <x:v>0</x:v>
      </x:c>
      <x:c r="G28" s="136" t="n">
        <x:f>IF(C28=0,0,ROUND(IF(B28='参数输入'!$B$8,D28,MIN(D28,ROUND('车辆输入'!$M$7/'参数输入'!$B$8,2))),2))</x:f>
        <x:v>0</x:v>
      </x:c>
      <x:c r="H28" s="136" t="n">
        <x:f>IF(OR(C28=0,'参数输入'!$B$9=0,B28&gt;'参数输入'!$B$9),0,ROUND(IF(B28='参数输入'!$B$9,E28,MIN(E28,ROUND('车辆输入'!$N$7/'参数输入'!$B$9,2))),2))</x:f>
        <x:v>0</x:v>
      </x:c>
      <x:c r="I28" s="136" t="n">
        <x:f>ROUND(G28+H28,2)</x:f>
        <x:v>0</x:v>
      </x:c>
      <x:c r="J28" s="137" t="n">
        <x:f>IF(C28=1,F28/SUMIFS($F$3:$F$122,$A$3:$A$122,A28,$C$3:$C$122,1),0)</x:f>
        <x:v>0</x:v>
      </x:c>
      <x:c r="K28" s="136" t="n">
        <x:f>IF(C28=1,ROUND('车辆输入'!$K$7+'车辆输入'!$L$7,2),0)</x:f>
        <x:v>0</x:v>
      </x:c>
      <x:c r="L28" s="136" t="n">
        <x:f>IF(C28=1,ROUND(('车辆输入'!$M$7+'车辆输入'!$N$7)*'参数输入'!$B$20,2),0)</x:f>
        <x:v>0</x:v>
      </x:c>
      <x:c r="M28" s="136" t="n">
        <x:f>IF(C28=0,0,ROUND(IF(B28='参数输入'!$B$8,K28-SUMIFS($M$3:$M$122,$A$3:$A$122,A28,$B$3:$B$122,"&lt;"&amp;B28),K28*J28),2))</x:f>
        <x:v>0</x:v>
      </x:c>
      <x:c r="N28" s="136" t="n">
        <x:f>IF(C28=0,0,ROUND(IF(B28='参数输入'!$B$8,L28-SUMIFS($N$3:$N$122,$A$3:$A$122,A28,$B$3:$B$122,"&lt;"&amp;B28),L28*J28),2))</x:f>
        <x:v>0</x:v>
      </x:c>
      <x:c r="O28" s="128" t="n">
        <x:v>0</x:v>
      </x:c>
      <x:c r="P28" s="136" t="n">
        <x:f>ROUND(I28+O28,2)</x:f>
        <x:v>0</x:v>
      </x:c>
      <x:c r="Q28" s="123" t="str">
        <x:f>IF(C28=0,"",IF(B28=1,'参数输入'!$B$10,EDATE('参数输入'!$B$24,B28-1)+1))</x:f>
      </x:c>
      <x:c r="R28" s="123" t="str">
        <x:f>IF(C28=0,"",EDATE('参数输入'!$B$24,B28))</x:f>
      </x:c>
    </x:row>
    <x:row r="29">
      <x:c r="A29" s="101" t="str">
        <x:v>V03</x:v>
      </x:c>
      <x:c r="B29" s="101" t="n">
        <x:v>3</x:v>
      </x:c>
      <x:c r="C29" s="101" t="n">
        <x:f>IF(AND(SUM('车辆输入'!$B$7:$F$7)&gt;0,B29&lt;='参数输入'!$B$8),1,0)</x:f>
        <x:v>0</x:v>
      </x:c>
      <x:c r="D29" s="136" t="n">
        <x:f>IF(C29=1,ROUND(MAX('车辆输入'!$M$7-ROUND('车辆输入'!$M$7/'参数输入'!$B$8,2)*(B29-1),0),2),0)</x:f>
        <x:v>0</x:v>
      </x:c>
      <x:c r="E29" s="136" t="n">
        <x:f>IF(AND(C29=1,B29&lt;='参数输入'!$B$9),ROUND(MAX('车辆输入'!$N$7-ROUND('车辆输入'!$N$7/MAX('参数输入'!$B$9,1),2)*(B29-1),0),2),0)</x:f>
        <x:v>0</x:v>
      </x:c>
      <x:c r="F29" s="136" t="n">
        <x:f>ROUND(D29+E29,2)</x:f>
        <x:v>0</x:v>
      </x:c>
      <x:c r="G29" s="136" t="n">
        <x:f>IF(C29=0,0,ROUND(IF(B29='参数输入'!$B$8,D29,MIN(D29,ROUND('车辆输入'!$M$7/'参数输入'!$B$8,2))),2))</x:f>
        <x:v>0</x:v>
      </x:c>
      <x:c r="H29" s="136" t="n">
        <x:f>IF(OR(C29=0,'参数输入'!$B$9=0,B29&gt;'参数输入'!$B$9),0,ROUND(IF(B29='参数输入'!$B$9,E29,MIN(E29,ROUND('车辆输入'!$N$7/'参数输入'!$B$9,2))),2))</x:f>
        <x:v>0</x:v>
      </x:c>
      <x:c r="I29" s="136" t="n">
        <x:f>ROUND(G29+H29,2)</x:f>
        <x:v>0</x:v>
      </x:c>
      <x:c r="J29" s="137" t="n">
        <x:f>IF(C29=1,F29/SUMIFS($F$3:$F$122,$A$3:$A$122,A29,$C$3:$C$122,1),0)</x:f>
        <x:v>0</x:v>
      </x:c>
      <x:c r="K29" s="136" t="n">
        <x:f>IF(C29=1,ROUND('车辆输入'!$K$7+'车辆输入'!$L$7,2),0)</x:f>
        <x:v>0</x:v>
      </x:c>
      <x:c r="L29" s="136" t="n">
        <x:f>IF(C29=1,ROUND(('车辆输入'!$M$7+'车辆输入'!$N$7)*'参数输入'!$B$20,2),0)</x:f>
        <x:v>0</x:v>
      </x:c>
      <x:c r="M29" s="136" t="n">
        <x:f>IF(C29=0,0,ROUND(IF(B29='参数输入'!$B$8,K29-SUMIFS($M$3:$M$122,$A$3:$A$122,A29,$B$3:$B$122,"&lt;"&amp;B29),K29*J29),2))</x:f>
        <x:v>0</x:v>
      </x:c>
      <x:c r="N29" s="136" t="n">
        <x:f>IF(C29=0,0,ROUND(IF(B29='参数输入'!$B$8,L29-SUMIFS($N$3:$N$122,$A$3:$A$122,A29,$B$3:$B$122,"&lt;"&amp;B29),L29*J29),2))</x:f>
        <x:v>0</x:v>
      </x:c>
      <x:c r="O29" s="128" t="n">
        <x:v>0</x:v>
      </x:c>
      <x:c r="P29" s="136" t="n">
        <x:f>ROUND(I29+O29,2)</x:f>
        <x:v>0</x:v>
      </x:c>
      <x:c r="Q29" s="123" t="str">
        <x:f>IF(C29=0,"",IF(B29=1,'参数输入'!$B$10,EDATE('参数输入'!$B$24,B29-1)+1))</x:f>
      </x:c>
      <x:c r="R29" s="123" t="str">
        <x:f>IF(C29=0,"",EDATE('参数输入'!$B$24,B29))</x:f>
      </x:c>
    </x:row>
    <x:row r="30">
      <x:c r="A30" s="101" t="str">
        <x:v>V03</x:v>
      </x:c>
      <x:c r="B30" s="101" t="n">
        <x:v>4</x:v>
      </x:c>
      <x:c r="C30" s="101" t="n">
        <x:f>IF(AND(SUM('车辆输入'!$B$7:$F$7)&gt;0,B30&lt;='参数输入'!$B$8),1,0)</x:f>
        <x:v>0</x:v>
      </x:c>
      <x:c r="D30" s="136" t="n">
        <x:f>IF(C30=1,ROUND(MAX('车辆输入'!$M$7-ROUND('车辆输入'!$M$7/'参数输入'!$B$8,2)*(B30-1),0),2),0)</x:f>
        <x:v>0</x:v>
      </x:c>
      <x:c r="E30" s="136" t="n">
        <x:f>IF(AND(C30=1,B30&lt;='参数输入'!$B$9),ROUND(MAX('车辆输入'!$N$7-ROUND('车辆输入'!$N$7/MAX('参数输入'!$B$9,1),2)*(B30-1),0),2),0)</x:f>
        <x:v>0</x:v>
      </x:c>
      <x:c r="F30" s="136" t="n">
        <x:f>ROUND(D30+E30,2)</x:f>
        <x:v>0</x:v>
      </x:c>
      <x:c r="G30" s="136" t="n">
        <x:f>IF(C30=0,0,ROUND(IF(B30='参数输入'!$B$8,D30,MIN(D30,ROUND('车辆输入'!$M$7/'参数输入'!$B$8,2))),2))</x:f>
        <x:v>0</x:v>
      </x:c>
      <x:c r="H30" s="136" t="n">
        <x:f>IF(OR(C30=0,'参数输入'!$B$9=0,B30&gt;'参数输入'!$B$9),0,ROUND(IF(B30='参数输入'!$B$9,E30,MIN(E30,ROUND('车辆输入'!$N$7/'参数输入'!$B$9,2))),2))</x:f>
        <x:v>0</x:v>
      </x:c>
      <x:c r="I30" s="136" t="n">
        <x:f>ROUND(G30+H30,2)</x:f>
        <x:v>0</x:v>
      </x:c>
      <x:c r="J30" s="137" t="n">
        <x:f>IF(C30=1,F30/SUMIFS($F$3:$F$122,$A$3:$A$122,A30,$C$3:$C$122,1),0)</x:f>
        <x:v>0</x:v>
      </x:c>
      <x:c r="K30" s="136" t="n">
        <x:f>IF(C30=1,ROUND('车辆输入'!$K$7+'车辆输入'!$L$7,2),0)</x:f>
        <x:v>0</x:v>
      </x:c>
      <x:c r="L30" s="136" t="n">
        <x:f>IF(C30=1,ROUND(('车辆输入'!$M$7+'车辆输入'!$N$7)*'参数输入'!$B$20,2),0)</x:f>
        <x:v>0</x:v>
      </x:c>
      <x:c r="M30" s="136" t="n">
        <x:f>IF(C30=0,0,ROUND(IF(B30='参数输入'!$B$8,K30-SUMIFS($M$3:$M$122,$A$3:$A$122,A30,$B$3:$B$122,"&lt;"&amp;B30),K30*J30),2))</x:f>
        <x:v>0</x:v>
      </x:c>
      <x:c r="N30" s="136" t="n">
        <x:f>IF(C30=0,0,ROUND(IF(B30='参数输入'!$B$8,L30-SUMIFS($N$3:$N$122,$A$3:$A$122,A30,$B$3:$B$122,"&lt;"&amp;B30),L30*J30),2))</x:f>
        <x:v>0</x:v>
      </x:c>
      <x:c r="O30" s="128" t="n">
        <x:v>0</x:v>
      </x:c>
      <x:c r="P30" s="136" t="n">
        <x:f>ROUND(I30+O30,2)</x:f>
        <x:v>0</x:v>
      </x:c>
      <x:c r="Q30" s="123" t="str">
        <x:f>IF(C30=0,"",IF(B30=1,'参数输入'!$B$10,EDATE('参数输入'!$B$24,B30-1)+1))</x:f>
      </x:c>
      <x:c r="R30" s="123" t="str">
        <x:f>IF(C30=0,"",EDATE('参数输入'!$B$24,B30))</x:f>
      </x:c>
    </x:row>
    <x:row r="31">
      <x:c r="A31" s="101" t="str">
        <x:v>V03</x:v>
      </x:c>
      <x:c r="B31" s="101" t="n">
        <x:v>5</x:v>
      </x:c>
      <x:c r="C31" s="101" t="n">
        <x:f>IF(AND(SUM('车辆输入'!$B$7:$F$7)&gt;0,B31&lt;='参数输入'!$B$8),1,0)</x:f>
        <x:v>0</x:v>
      </x:c>
      <x:c r="D31" s="136" t="n">
        <x:f>IF(C31=1,ROUND(MAX('车辆输入'!$M$7-ROUND('车辆输入'!$M$7/'参数输入'!$B$8,2)*(B31-1),0),2),0)</x:f>
        <x:v>0</x:v>
      </x:c>
      <x:c r="E31" s="136" t="n">
        <x:f>IF(AND(C31=1,B31&lt;='参数输入'!$B$9),ROUND(MAX('车辆输入'!$N$7-ROUND('车辆输入'!$N$7/MAX('参数输入'!$B$9,1),2)*(B31-1),0),2),0)</x:f>
        <x:v>0</x:v>
      </x:c>
      <x:c r="F31" s="136" t="n">
        <x:f>ROUND(D31+E31,2)</x:f>
        <x:v>0</x:v>
      </x:c>
      <x:c r="G31" s="136" t="n">
        <x:f>IF(C31=0,0,ROUND(IF(B31='参数输入'!$B$8,D31,MIN(D31,ROUND('车辆输入'!$M$7/'参数输入'!$B$8,2))),2))</x:f>
        <x:v>0</x:v>
      </x:c>
      <x:c r="H31" s="136" t="n">
        <x:f>IF(OR(C31=0,'参数输入'!$B$9=0,B31&gt;'参数输入'!$B$9),0,ROUND(IF(B31='参数输入'!$B$9,E31,MIN(E31,ROUND('车辆输入'!$N$7/'参数输入'!$B$9,2))),2))</x:f>
        <x:v>0</x:v>
      </x:c>
      <x:c r="I31" s="136" t="n">
        <x:f>ROUND(G31+H31,2)</x:f>
        <x:v>0</x:v>
      </x:c>
      <x:c r="J31" s="137" t="n">
        <x:f>IF(C31=1,F31/SUMIFS($F$3:$F$122,$A$3:$A$122,A31,$C$3:$C$122,1),0)</x:f>
        <x:v>0</x:v>
      </x:c>
      <x:c r="K31" s="136" t="n">
        <x:f>IF(C31=1,ROUND('车辆输入'!$K$7+'车辆输入'!$L$7,2),0)</x:f>
        <x:v>0</x:v>
      </x:c>
      <x:c r="L31" s="136" t="n">
        <x:f>IF(C31=1,ROUND(('车辆输入'!$M$7+'车辆输入'!$N$7)*'参数输入'!$B$20,2),0)</x:f>
        <x:v>0</x:v>
      </x:c>
      <x:c r="M31" s="136" t="n">
        <x:f>IF(C31=0,0,ROUND(IF(B31='参数输入'!$B$8,K31-SUMIFS($M$3:$M$122,$A$3:$A$122,A31,$B$3:$B$122,"&lt;"&amp;B31),K31*J31),2))</x:f>
        <x:v>0</x:v>
      </x:c>
      <x:c r="N31" s="136" t="n">
        <x:f>IF(C31=0,0,ROUND(IF(B31='参数输入'!$B$8,L31-SUMIFS($N$3:$N$122,$A$3:$A$122,A31,$B$3:$B$122,"&lt;"&amp;B31),L31*J31),2))</x:f>
        <x:v>0</x:v>
      </x:c>
      <x:c r="O31" s="128" t="n">
        <x:v>0</x:v>
      </x:c>
      <x:c r="P31" s="136" t="n">
        <x:f>ROUND(I31+O31,2)</x:f>
        <x:v>0</x:v>
      </x:c>
      <x:c r="Q31" s="123" t="str">
        <x:f>IF(C31=0,"",IF(B31=1,'参数输入'!$B$10,EDATE('参数输入'!$B$24,B31-1)+1))</x:f>
      </x:c>
      <x:c r="R31" s="123" t="str">
        <x:f>IF(C31=0,"",EDATE('参数输入'!$B$24,B31))</x:f>
      </x:c>
    </x:row>
    <x:row r="32">
      <x:c r="A32" s="101" t="str">
        <x:v>V03</x:v>
      </x:c>
      <x:c r="B32" s="101" t="n">
        <x:v>6</x:v>
      </x:c>
      <x:c r="C32" s="101" t="n">
        <x:f>IF(AND(SUM('车辆输入'!$B$7:$F$7)&gt;0,B32&lt;='参数输入'!$B$8),1,0)</x:f>
        <x:v>0</x:v>
      </x:c>
      <x:c r="D32" s="136" t="n">
        <x:f>IF(C32=1,ROUND(MAX('车辆输入'!$M$7-ROUND('车辆输入'!$M$7/'参数输入'!$B$8,2)*(B32-1),0),2),0)</x:f>
        <x:v>0</x:v>
      </x:c>
      <x:c r="E32" s="136" t="n">
        <x:f>IF(AND(C32=1,B32&lt;='参数输入'!$B$9),ROUND(MAX('车辆输入'!$N$7-ROUND('车辆输入'!$N$7/MAX('参数输入'!$B$9,1),2)*(B32-1),0),2),0)</x:f>
        <x:v>0</x:v>
      </x:c>
      <x:c r="F32" s="136" t="n">
        <x:f>ROUND(D32+E32,2)</x:f>
        <x:v>0</x:v>
      </x:c>
      <x:c r="G32" s="136" t="n">
        <x:f>IF(C32=0,0,ROUND(IF(B32='参数输入'!$B$8,D32,MIN(D32,ROUND('车辆输入'!$M$7/'参数输入'!$B$8,2))),2))</x:f>
        <x:v>0</x:v>
      </x:c>
      <x:c r="H32" s="136" t="n">
        <x:f>IF(OR(C32=0,'参数输入'!$B$9=0,B32&gt;'参数输入'!$B$9),0,ROUND(IF(B32='参数输入'!$B$9,E32,MIN(E32,ROUND('车辆输入'!$N$7/'参数输入'!$B$9,2))),2))</x:f>
        <x:v>0</x:v>
      </x:c>
      <x:c r="I32" s="136" t="n">
        <x:f>ROUND(G32+H32,2)</x:f>
        <x:v>0</x:v>
      </x:c>
      <x:c r="J32" s="137" t="n">
        <x:f>IF(C32=1,F32/SUMIFS($F$3:$F$122,$A$3:$A$122,A32,$C$3:$C$122,1),0)</x:f>
        <x:v>0</x:v>
      </x:c>
      <x:c r="K32" s="136" t="n">
        <x:f>IF(C32=1,ROUND('车辆输入'!$K$7+'车辆输入'!$L$7,2),0)</x:f>
        <x:v>0</x:v>
      </x:c>
      <x:c r="L32" s="136" t="n">
        <x:f>IF(C32=1,ROUND(('车辆输入'!$M$7+'车辆输入'!$N$7)*'参数输入'!$B$20,2),0)</x:f>
        <x:v>0</x:v>
      </x:c>
      <x:c r="M32" s="136" t="n">
        <x:f>IF(C32=0,0,ROUND(IF(B32='参数输入'!$B$8,K32-SUMIFS($M$3:$M$122,$A$3:$A$122,A32,$B$3:$B$122,"&lt;"&amp;B32),K32*J32),2))</x:f>
        <x:v>0</x:v>
      </x:c>
      <x:c r="N32" s="136" t="n">
        <x:f>IF(C32=0,0,ROUND(IF(B32='参数输入'!$B$8,L32-SUMIFS($N$3:$N$122,$A$3:$A$122,A32,$B$3:$B$122,"&lt;"&amp;B32),L32*J32),2))</x:f>
        <x:v>0</x:v>
      </x:c>
      <x:c r="O32" s="128" t="n">
        <x:v>0</x:v>
      </x:c>
      <x:c r="P32" s="136" t="n">
        <x:f>ROUND(I32+O32,2)</x:f>
        <x:v>0</x:v>
      </x:c>
      <x:c r="Q32" s="123" t="str">
        <x:f>IF(C32=0,"",IF(B32=1,'参数输入'!$B$10,EDATE('参数输入'!$B$24,B32-1)+1))</x:f>
      </x:c>
      <x:c r="R32" s="123" t="str">
        <x:f>IF(C32=0,"",EDATE('参数输入'!$B$24,B32))</x:f>
      </x:c>
    </x:row>
    <x:row r="33">
      <x:c r="A33" s="101" t="str">
        <x:v>V03</x:v>
      </x:c>
      <x:c r="B33" s="101" t="n">
        <x:v>7</x:v>
      </x:c>
      <x:c r="C33" s="101" t="n">
        <x:f>IF(AND(SUM('车辆输入'!$B$7:$F$7)&gt;0,B33&lt;='参数输入'!$B$8),1,0)</x:f>
        <x:v>0</x:v>
      </x:c>
      <x:c r="D33" s="136" t="n">
        <x:f>IF(C33=1,ROUND(MAX('车辆输入'!$M$7-ROUND('车辆输入'!$M$7/'参数输入'!$B$8,2)*(B33-1),0),2),0)</x:f>
        <x:v>0</x:v>
      </x:c>
      <x:c r="E33" s="136" t="n">
        <x:f>IF(AND(C33=1,B33&lt;='参数输入'!$B$9),ROUND(MAX('车辆输入'!$N$7-ROUND('车辆输入'!$N$7/MAX('参数输入'!$B$9,1),2)*(B33-1),0),2),0)</x:f>
        <x:v>0</x:v>
      </x:c>
      <x:c r="F33" s="136" t="n">
        <x:f>ROUND(D33+E33,2)</x:f>
        <x:v>0</x:v>
      </x:c>
      <x:c r="G33" s="136" t="n">
        <x:f>IF(C33=0,0,ROUND(IF(B33='参数输入'!$B$8,D33,MIN(D33,ROUND('车辆输入'!$M$7/'参数输入'!$B$8,2))),2))</x:f>
        <x:v>0</x:v>
      </x:c>
      <x:c r="H33" s="136" t="n">
        <x:f>IF(OR(C33=0,'参数输入'!$B$9=0,B33&gt;'参数输入'!$B$9),0,ROUND(IF(B33='参数输入'!$B$9,E33,MIN(E33,ROUND('车辆输入'!$N$7/'参数输入'!$B$9,2))),2))</x:f>
        <x:v>0</x:v>
      </x:c>
      <x:c r="I33" s="136" t="n">
        <x:f>ROUND(G33+H33,2)</x:f>
        <x:v>0</x:v>
      </x:c>
      <x:c r="J33" s="137" t="n">
        <x:f>IF(C33=1,F33/SUMIFS($F$3:$F$122,$A$3:$A$122,A33,$C$3:$C$122,1),0)</x:f>
        <x:v>0</x:v>
      </x:c>
      <x:c r="K33" s="136" t="n">
        <x:f>IF(C33=1,ROUND('车辆输入'!$K$7+'车辆输入'!$L$7,2),0)</x:f>
        <x:v>0</x:v>
      </x:c>
      <x:c r="L33" s="136" t="n">
        <x:f>IF(C33=1,ROUND(('车辆输入'!$M$7+'车辆输入'!$N$7)*'参数输入'!$B$20,2),0)</x:f>
        <x:v>0</x:v>
      </x:c>
      <x:c r="M33" s="136" t="n">
        <x:f>IF(C33=0,0,ROUND(IF(B33='参数输入'!$B$8,K33-SUMIFS($M$3:$M$122,$A$3:$A$122,A33,$B$3:$B$122,"&lt;"&amp;B33),K33*J33),2))</x:f>
        <x:v>0</x:v>
      </x:c>
      <x:c r="N33" s="136" t="n">
        <x:f>IF(C33=0,0,ROUND(IF(B33='参数输入'!$B$8,L33-SUMIFS($N$3:$N$122,$A$3:$A$122,A33,$B$3:$B$122,"&lt;"&amp;B33),L33*J33),2))</x:f>
        <x:v>0</x:v>
      </x:c>
      <x:c r="O33" s="128" t="n">
        <x:v>0</x:v>
      </x:c>
      <x:c r="P33" s="136" t="n">
        <x:f>ROUND(I33+O33,2)</x:f>
        <x:v>0</x:v>
      </x:c>
      <x:c r="Q33" s="123" t="str">
        <x:f>IF(C33=0,"",IF(B33=1,'参数输入'!$B$10,EDATE('参数输入'!$B$24,B33-1)+1))</x:f>
      </x:c>
      <x:c r="R33" s="123" t="str">
        <x:f>IF(C33=0,"",EDATE('参数输入'!$B$24,B33))</x:f>
      </x:c>
    </x:row>
    <x:row r="34">
      <x:c r="A34" s="101" t="str">
        <x:v>V03</x:v>
      </x:c>
      <x:c r="B34" s="101" t="n">
        <x:v>8</x:v>
      </x:c>
      <x:c r="C34" s="101" t="n">
        <x:f>IF(AND(SUM('车辆输入'!$B$7:$F$7)&gt;0,B34&lt;='参数输入'!$B$8),1,0)</x:f>
        <x:v>0</x:v>
      </x:c>
      <x:c r="D34" s="136" t="n">
        <x:f>IF(C34=1,ROUND(MAX('车辆输入'!$M$7-ROUND('车辆输入'!$M$7/'参数输入'!$B$8,2)*(B34-1),0),2),0)</x:f>
        <x:v>0</x:v>
      </x:c>
      <x:c r="E34" s="136" t="n">
        <x:f>IF(AND(C34=1,B34&lt;='参数输入'!$B$9),ROUND(MAX('车辆输入'!$N$7-ROUND('车辆输入'!$N$7/MAX('参数输入'!$B$9,1),2)*(B34-1),0),2),0)</x:f>
        <x:v>0</x:v>
      </x:c>
      <x:c r="F34" s="136" t="n">
        <x:f>ROUND(D34+E34,2)</x:f>
        <x:v>0</x:v>
      </x:c>
      <x:c r="G34" s="136" t="n">
        <x:f>IF(C34=0,0,ROUND(IF(B34='参数输入'!$B$8,D34,MIN(D34,ROUND('车辆输入'!$M$7/'参数输入'!$B$8,2))),2))</x:f>
        <x:v>0</x:v>
      </x:c>
      <x:c r="H34" s="136" t="n">
        <x:f>IF(OR(C34=0,'参数输入'!$B$9=0,B34&gt;'参数输入'!$B$9),0,ROUND(IF(B34='参数输入'!$B$9,E34,MIN(E34,ROUND('车辆输入'!$N$7/'参数输入'!$B$9,2))),2))</x:f>
        <x:v>0</x:v>
      </x:c>
      <x:c r="I34" s="136" t="n">
        <x:f>ROUND(G34+H34,2)</x:f>
        <x:v>0</x:v>
      </x:c>
      <x:c r="J34" s="137" t="n">
        <x:f>IF(C34=1,F34/SUMIFS($F$3:$F$122,$A$3:$A$122,A34,$C$3:$C$122,1),0)</x:f>
        <x:v>0</x:v>
      </x:c>
      <x:c r="K34" s="136" t="n">
        <x:f>IF(C34=1,ROUND('车辆输入'!$K$7+'车辆输入'!$L$7,2),0)</x:f>
        <x:v>0</x:v>
      </x:c>
      <x:c r="L34" s="136" t="n">
        <x:f>IF(C34=1,ROUND(('车辆输入'!$M$7+'车辆输入'!$N$7)*'参数输入'!$B$20,2),0)</x:f>
        <x:v>0</x:v>
      </x:c>
      <x:c r="M34" s="136" t="n">
        <x:f>IF(C34=0,0,ROUND(IF(B34='参数输入'!$B$8,K34-SUMIFS($M$3:$M$122,$A$3:$A$122,A34,$B$3:$B$122,"&lt;"&amp;B34),K34*J34),2))</x:f>
        <x:v>0</x:v>
      </x:c>
      <x:c r="N34" s="136" t="n">
        <x:f>IF(C34=0,0,ROUND(IF(B34='参数输入'!$B$8,L34-SUMIFS($N$3:$N$122,$A$3:$A$122,A34,$B$3:$B$122,"&lt;"&amp;B34),L34*J34),2))</x:f>
        <x:v>0</x:v>
      </x:c>
      <x:c r="O34" s="128" t="n">
        <x:v>0</x:v>
      </x:c>
      <x:c r="P34" s="136" t="n">
        <x:f>ROUND(I34+O34,2)</x:f>
        <x:v>0</x:v>
      </x:c>
      <x:c r="Q34" s="123" t="str">
        <x:f>IF(C34=0,"",IF(B34=1,'参数输入'!$B$10,EDATE('参数输入'!$B$24,B34-1)+1))</x:f>
      </x:c>
      <x:c r="R34" s="123" t="str">
        <x:f>IF(C34=0,"",EDATE('参数输入'!$B$24,B34))</x:f>
      </x:c>
    </x:row>
    <x:row r="35">
      <x:c r="A35" s="101" t="str">
        <x:v>V03</x:v>
      </x:c>
      <x:c r="B35" s="101" t="n">
        <x:v>9</x:v>
      </x:c>
      <x:c r="C35" s="101" t="n">
        <x:f>IF(AND(SUM('车辆输入'!$B$7:$F$7)&gt;0,B35&lt;='参数输入'!$B$8),1,0)</x:f>
        <x:v>0</x:v>
      </x:c>
      <x:c r="D35" s="136" t="n">
        <x:f>IF(C35=1,ROUND(MAX('车辆输入'!$M$7-ROUND('车辆输入'!$M$7/'参数输入'!$B$8,2)*(B35-1),0),2),0)</x:f>
        <x:v>0</x:v>
      </x:c>
      <x:c r="E35" s="136" t="n">
        <x:f>IF(AND(C35=1,B35&lt;='参数输入'!$B$9),ROUND(MAX('车辆输入'!$N$7-ROUND('车辆输入'!$N$7/MAX('参数输入'!$B$9,1),2)*(B35-1),0),2),0)</x:f>
        <x:v>0</x:v>
      </x:c>
      <x:c r="F35" s="136" t="n">
        <x:f>ROUND(D35+E35,2)</x:f>
        <x:v>0</x:v>
      </x:c>
      <x:c r="G35" s="136" t="n">
        <x:f>IF(C35=0,0,ROUND(IF(B35='参数输入'!$B$8,D35,MIN(D35,ROUND('车辆输入'!$M$7/'参数输入'!$B$8,2))),2))</x:f>
        <x:v>0</x:v>
      </x:c>
      <x:c r="H35" s="136" t="n">
        <x:f>IF(OR(C35=0,'参数输入'!$B$9=0,B35&gt;'参数输入'!$B$9),0,ROUND(IF(B35='参数输入'!$B$9,E35,MIN(E35,ROUND('车辆输入'!$N$7/'参数输入'!$B$9,2))),2))</x:f>
        <x:v>0</x:v>
      </x:c>
      <x:c r="I35" s="136" t="n">
        <x:f>ROUND(G35+H35,2)</x:f>
        <x:v>0</x:v>
      </x:c>
      <x:c r="J35" s="137" t="n">
        <x:f>IF(C35=1,F35/SUMIFS($F$3:$F$122,$A$3:$A$122,A35,$C$3:$C$122,1),0)</x:f>
        <x:v>0</x:v>
      </x:c>
      <x:c r="K35" s="136" t="n">
        <x:f>IF(C35=1,ROUND('车辆输入'!$K$7+'车辆输入'!$L$7,2),0)</x:f>
        <x:v>0</x:v>
      </x:c>
      <x:c r="L35" s="136" t="n">
        <x:f>IF(C35=1,ROUND(('车辆输入'!$M$7+'车辆输入'!$N$7)*'参数输入'!$B$20,2),0)</x:f>
        <x:v>0</x:v>
      </x:c>
      <x:c r="M35" s="136" t="n">
        <x:f>IF(C35=0,0,ROUND(IF(B35='参数输入'!$B$8,K35-SUMIFS($M$3:$M$122,$A$3:$A$122,A35,$B$3:$B$122,"&lt;"&amp;B35),K35*J35),2))</x:f>
        <x:v>0</x:v>
      </x:c>
      <x:c r="N35" s="136" t="n">
        <x:f>IF(C35=0,0,ROUND(IF(B35='参数输入'!$B$8,L35-SUMIFS($N$3:$N$122,$A$3:$A$122,A35,$B$3:$B$122,"&lt;"&amp;B35),L35*J35),2))</x:f>
        <x:v>0</x:v>
      </x:c>
      <x:c r="O35" s="128" t="n">
        <x:v>0</x:v>
      </x:c>
      <x:c r="P35" s="136" t="n">
        <x:f>ROUND(I35+O35,2)</x:f>
        <x:v>0</x:v>
      </x:c>
      <x:c r="Q35" s="123" t="str">
        <x:f>IF(C35=0,"",IF(B35=1,'参数输入'!$B$10,EDATE('参数输入'!$B$24,B35-1)+1))</x:f>
      </x:c>
      <x:c r="R35" s="123" t="str">
        <x:f>IF(C35=0,"",EDATE('参数输入'!$B$24,B35))</x:f>
      </x:c>
    </x:row>
    <x:row r="36">
      <x:c r="A36" s="101" t="str">
        <x:v>V03</x:v>
      </x:c>
      <x:c r="B36" s="101" t="n">
        <x:v>10</x:v>
      </x:c>
      <x:c r="C36" s="101" t="n">
        <x:f>IF(AND(SUM('车辆输入'!$B$7:$F$7)&gt;0,B36&lt;='参数输入'!$B$8),1,0)</x:f>
        <x:v>0</x:v>
      </x:c>
      <x:c r="D36" s="136" t="n">
        <x:f>IF(C36=1,ROUND(MAX('车辆输入'!$M$7-ROUND('车辆输入'!$M$7/'参数输入'!$B$8,2)*(B36-1),0),2),0)</x:f>
        <x:v>0</x:v>
      </x:c>
      <x:c r="E36" s="136" t="n">
        <x:f>IF(AND(C36=1,B36&lt;='参数输入'!$B$9),ROUND(MAX('车辆输入'!$N$7-ROUND('车辆输入'!$N$7/MAX('参数输入'!$B$9,1),2)*(B36-1),0),2),0)</x:f>
        <x:v>0</x:v>
      </x:c>
      <x:c r="F36" s="136" t="n">
        <x:f>ROUND(D36+E36,2)</x:f>
        <x:v>0</x:v>
      </x:c>
      <x:c r="G36" s="136" t="n">
        <x:f>IF(C36=0,0,ROUND(IF(B36='参数输入'!$B$8,D36,MIN(D36,ROUND('车辆输入'!$M$7/'参数输入'!$B$8,2))),2))</x:f>
        <x:v>0</x:v>
      </x:c>
      <x:c r="H36" s="136" t="n">
        <x:f>IF(OR(C36=0,'参数输入'!$B$9=0,B36&gt;'参数输入'!$B$9),0,ROUND(IF(B36='参数输入'!$B$9,E36,MIN(E36,ROUND('车辆输入'!$N$7/'参数输入'!$B$9,2))),2))</x:f>
        <x:v>0</x:v>
      </x:c>
      <x:c r="I36" s="136" t="n">
        <x:f>ROUND(G36+H36,2)</x:f>
        <x:v>0</x:v>
      </x:c>
      <x:c r="J36" s="137" t="n">
        <x:f>IF(C36=1,F36/SUMIFS($F$3:$F$122,$A$3:$A$122,A36,$C$3:$C$122,1),0)</x:f>
        <x:v>0</x:v>
      </x:c>
      <x:c r="K36" s="136" t="n">
        <x:f>IF(C36=1,ROUND('车辆输入'!$K$7+'车辆输入'!$L$7,2),0)</x:f>
        <x:v>0</x:v>
      </x:c>
      <x:c r="L36" s="136" t="n">
        <x:f>IF(C36=1,ROUND(('车辆输入'!$M$7+'车辆输入'!$N$7)*'参数输入'!$B$20,2),0)</x:f>
        <x:v>0</x:v>
      </x:c>
      <x:c r="M36" s="136" t="n">
        <x:f>IF(C36=0,0,ROUND(IF(B36='参数输入'!$B$8,K36-SUMIFS($M$3:$M$122,$A$3:$A$122,A36,$B$3:$B$122,"&lt;"&amp;B36),K36*J36),2))</x:f>
        <x:v>0</x:v>
      </x:c>
      <x:c r="N36" s="136" t="n">
        <x:f>IF(C36=0,0,ROUND(IF(B36='参数输入'!$B$8,L36-SUMIFS($N$3:$N$122,$A$3:$A$122,A36,$B$3:$B$122,"&lt;"&amp;B36),L36*J36),2))</x:f>
        <x:v>0</x:v>
      </x:c>
      <x:c r="O36" s="128" t="n">
        <x:v>0</x:v>
      </x:c>
      <x:c r="P36" s="136" t="n">
        <x:f>ROUND(I36+O36,2)</x:f>
        <x:v>0</x:v>
      </x:c>
      <x:c r="Q36" s="123" t="str">
        <x:f>IF(C36=0,"",IF(B36=1,'参数输入'!$B$10,EDATE('参数输入'!$B$24,B36-1)+1))</x:f>
      </x:c>
      <x:c r="R36" s="123" t="str">
        <x:f>IF(C36=0,"",EDATE('参数输入'!$B$24,B36))</x:f>
      </x:c>
    </x:row>
    <x:row r="37">
      <x:c r="A37" s="101" t="str">
        <x:v>V03</x:v>
      </x:c>
      <x:c r="B37" s="101" t="n">
        <x:v>11</x:v>
      </x:c>
      <x:c r="C37" s="101" t="n">
        <x:f>IF(AND(SUM('车辆输入'!$B$7:$F$7)&gt;0,B37&lt;='参数输入'!$B$8),1,0)</x:f>
        <x:v>0</x:v>
      </x:c>
      <x:c r="D37" s="136" t="n">
        <x:f>IF(C37=1,ROUND(MAX('车辆输入'!$M$7-ROUND('车辆输入'!$M$7/'参数输入'!$B$8,2)*(B37-1),0),2),0)</x:f>
        <x:v>0</x:v>
      </x:c>
      <x:c r="E37" s="136" t="n">
        <x:f>IF(AND(C37=1,B37&lt;='参数输入'!$B$9),ROUND(MAX('车辆输入'!$N$7-ROUND('车辆输入'!$N$7/MAX('参数输入'!$B$9,1),2)*(B37-1),0),2),0)</x:f>
        <x:v>0</x:v>
      </x:c>
      <x:c r="F37" s="136" t="n">
        <x:f>ROUND(D37+E37,2)</x:f>
        <x:v>0</x:v>
      </x:c>
      <x:c r="G37" s="136" t="n">
        <x:f>IF(C37=0,0,ROUND(IF(B37='参数输入'!$B$8,D37,MIN(D37,ROUND('车辆输入'!$M$7/'参数输入'!$B$8,2))),2))</x:f>
        <x:v>0</x:v>
      </x:c>
      <x:c r="H37" s="136" t="n">
        <x:f>IF(OR(C37=0,'参数输入'!$B$9=0,B37&gt;'参数输入'!$B$9),0,ROUND(IF(B37='参数输入'!$B$9,E37,MIN(E37,ROUND('车辆输入'!$N$7/'参数输入'!$B$9,2))),2))</x:f>
        <x:v>0</x:v>
      </x:c>
      <x:c r="I37" s="136" t="n">
        <x:f>ROUND(G37+H37,2)</x:f>
        <x:v>0</x:v>
      </x:c>
      <x:c r="J37" s="137" t="n">
        <x:f>IF(C37=1,F37/SUMIFS($F$3:$F$122,$A$3:$A$122,A37,$C$3:$C$122,1),0)</x:f>
        <x:v>0</x:v>
      </x:c>
      <x:c r="K37" s="136" t="n">
        <x:f>IF(C37=1,ROUND('车辆输入'!$K$7+'车辆输入'!$L$7,2),0)</x:f>
        <x:v>0</x:v>
      </x:c>
      <x:c r="L37" s="136" t="n">
        <x:f>IF(C37=1,ROUND(('车辆输入'!$M$7+'车辆输入'!$N$7)*'参数输入'!$B$20,2),0)</x:f>
        <x:v>0</x:v>
      </x:c>
      <x:c r="M37" s="136" t="n">
        <x:f>IF(C37=0,0,ROUND(IF(B37='参数输入'!$B$8,K37-SUMIFS($M$3:$M$122,$A$3:$A$122,A37,$B$3:$B$122,"&lt;"&amp;B37),K37*J37),2))</x:f>
        <x:v>0</x:v>
      </x:c>
      <x:c r="N37" s="136" t="n">
        <x:f>IF(C37=0,0,ROUND(IF(B37='参数输入'!$B$8,L37-SUMIFS($N$3:$N$122,$A$3:$A$122,A37,$B$3:$B$122,"&lt;"&amp;B37),L37*J37),2))</x:f>
        <x:v>0</x:v>
      </x:c>
      <x:c r="O37" s="128" t="n">
        <x:v>0</x:v>
      </x:c>
      <x:c r="P37" s="136" t="n">
        <x:f>ROUND(I37+O37,2)</x:f>
        <x:v>0</x:v>
      </x:c>
      <x:c r="Q37" s="123" t="str">
        <x:f>IF(C37=0,"",IF(B37=1,'参数输入'!$B$10,EDATE('参数输入'!$B$24,B37-1)+1))</x:f>
      </x:c>
      <x:c r="R37" s="123" t="str">
        <x:f>IF(C37=0,"",EDATE('参数输入'!$B$24,B37))</x:f>
      </x:c>
    </x:row>
    <x:row r="38">
      <x:c r="A38" s="101" t="str">
        <x:v>V03</x:v>
      </x:c>
      <x:c r="B38" s="101" t="n">
        <x:v>12</x:v>
      </x:c>
      <x:c r="C38" s="101" t="n">
        <x:f>IF(AND(SUM('车辆输入'!$B$7:$F$7)&gt;0,B38&lt;='参数输入'!$B$8),1,0)</x:f>
        <x:v>0</x:v>
      </x:c>
      <x:c r="D38" s="136" t="n">
        <x:f>IF(C38=1,ROUND(MAX('车辆输入'!$M$7-ROUND('车辆输入'!$M$7/'参数输入'!$B$8,2)*(B38-1),0),2),0)</x:f>
        <x:v>0</x:v>
      </x:c>
      <x:c r="E38" s="136" t="n">
        <x:f>IF(AND(C38=1,B38&lt;='参数输入'!$B$9),ROUND(MAX('车辆输入'!$N$7-ROUND('车辆输入'!$N$7/MAX('参数输入'!$B$9,1),2)*(B38-1),0),2),0)</x:f>
        <x:v>0</x:v>
      </x:c>
      <x:c r="F38" s="136" t="n">
        <x:f>ROUND(D38+E38,2)</x:f>
        <x:v>0</x:v>
      </x:c>
      <x:c r="G38" s="136" t="n">
        <x:f>IF(C38=0,0,ROUND(IF(B38='参数输入'!$B$8,D38,MIN(D38,ROUND('车辆输入'!$M$7/'参数输入'!$B$8,2))),2))</x:f>
        <x:v>0</x:v>
      </x:c>
      <x:c r="H38" s="136" t="n">
        <x:f>IF(OR(C38=0,'参数输入'!$B$9=0,B38&gt;'参数输入'!$B$9),0,ROUND(IF(B38='参数输入'!$B$9,E38,MIN(E38,ROUND('车辆输入'!$N$7/'参数输入'!$B$9,2))),2))</x:f>
        <x:v>0</x:v>
      </x:c>
      <x:c r="I38" s="136" t="n">
        <x:f>ROUND(G38+H38,2)</x:f>
        <x:v>0</x:v>
      </x:c>
      <x:c r="J38" s="137" t="n">
        <x:f>IF(C38=1,F38/SUMIFS($F$3:$F$122,$A$3:$A$122,A38,$C$3:$C$122,1),0)</x:f>
        <x:v>0</x:v>
      </x:c>
      <x:c r="K38" s="136" t="n">
        <x:f>IF(C38=1,ROUND('车辆输入'!$K$7+'车辆输入'!$L$7,2),0)</x:f>
        <x:v>0</x:v>
      </x:c>
      <x:c r="L38" s="136" t="n">
        <x:f>IF(C38=1,ROUND(('车辆输入'!$M$7+'车辆输入'!$N$7)*'参数输入'!$B$20,2),0)</x:f>
        <x:v>0</x:v>
      </x:c>
      <x:c r="M38" s="136" t="n">
        <x:f>IF(C38=0,0,ROUND(IF(B38='参数输入'!$B$8,K38-SUMIFS($M$3:$M$122,$A$3:$A$122,A38,$B$3:$B$122,"&lt;"&amp;B38),K38*J38),2))</x:f>
        <x:v>0</x:v>
      </x:c>
      <x:c r="N38" s="136" t="n">
        <x:f>IF(C38=0,0,ROUND(IF(B38='参数输入'!$B$8,L38-SUMIFS($N$3:$N$122,$A$3:$A$122,A38,$B$3:$B$122,"&lt;"&amp;B38),L38*J38),2))</x:f>
        <x:v>0</x:v>
      </x:c>
      <x:c r="O38" s="128" t="n">
        <x:v>0</x:v>
      </x:c>
      <x:c r="P38" s="136" t="n">
        <x:f>ROUND(I38+O38,2)</x:f>
        <x:v>0</x:v>
      </x:c>
      <x:c r="Q38" s="123" t="str">
        <x:f>IF(C38=0,"",IF(B38=1,'参数输入'!$B$10,EDATE('参数输入'!$B$24,B38-1)+1))</x:f>
      </x:c>
      <x:c r="R38" s="123" t="str">
        <x:f>IF(C38=0,"",EDATE('参数输入'!$B$24,B38))</x:f>
      </x:c>
    </x:row>
    <x:row r="39">
      <x:c r="A39" s="101" t="str">
        <x:v>V04</x:v>
      </x:c>
      <x:c r="B39" s="101" t="n">
        <x:v>1</x:v>
      </x:c>
      <x:c r="C39" s="101" t="n">
        <x:f>IF(AND(SUM('车辆输入'!$B$8:$F$8)&gt;0,B39&lt;='参数输入'!$B$8),1,0)</x:f>
        <x:v>0</x:v>
      </x:c>
      <x:c r="D39" s="136" t="n">
        <x:f>IF(C39=1,ROUND(MAX('车辆输入'!$M$8-ROUND('车辆输入'!$M$8/'参数输入'!$B$8,2)*(B39-1),0),2),0)</x:f>
        <x:v>0</x:v>
      </x:c>
      <x:c r="E39" s="136" t="n">
        <x:f>IF(AND(C39=1,B39&lt;='参数输入'!$B$9),ROUND(MAX('车辆输入'!$N$8-ROUND('车辆输入'!$N$8/MAX('参数输入'!$B$9,1),2)*(B39-1),0),2),0)</x:f>
        <x:v>0</x:v>
      </x:c>
      <x:c r="F39" s="136" t="n">
        <x:f>ROUND(D39+E39,2)</x:f>
        <x:v>0</x:v>
      </x:c>
      <x:c r="G39" s="136" t="n">
        <x:f>IF(C39=0,0,ROUND(IF(B39='参数输入'!$B$8,D39,MIN(D39,ROUND('车辆输入'!$M$8/'参数输入'!$B$8,2))),2))</x:f>
        <x:v>0</x:v>
      </x:c>
      <x:c r="H39" s="136" t="n">
        <x:f>IF(OR(C39=0,'参数输入'!$B$9=0,B39&gt;'参数输入'!$B$9),0,ROUND(IF(B39='参数输入'!$B$9,E39,MIN(E39,ROUND('车辆输入'!$N$8/'参数输入'!$B$9,2))),2))</x:f>
        <x:v>0</x:v>
      </x:c>
      <x:c r="I39" s="136" t="n">
        <x:f>ROUND(G39+H39,2)</x:f>
        <x:v>0</x:v>
      </x:c>
      <x:c r="J39" s="137" t="n">
        <x:f>IF(C39=1,F39/SUMIFS($F$3:$F$122,$A$3:$A$122,A39,$C$3:$C$122,1),0)</x:f>
        <x:v>0</x:v>
      </x:c>
      <x:c r="K39" s="136" t="n">
        <x:f>IF(C39=1,ROUND('车辆输入'!$K$8+'车辆输入'!$L$8,2),0)</x:f>
        <x:v>0</x:v>
      </x:c>
      <x:c r="L39" s="136" t="n">
        <x:f>IF(C39=1,ROUND(('车辆输入'!$M$8+'车辆输入'!$N$8)*'参数输入'!$B$20,2),0)</x:f>
        <x:v>0</x:v>
      </x:c>
      <x:c r="M39" s="136" t="n">
        <x:f>IF(C39=0,0,ROUND(IF(B39='参数输入'!$B$8,K39-SUMIFS($M$3:$M$122,$A$3:$A$122,A39,$B$3:$B$122,"&lt;"&amp;B39),K39*J39),2))</x:f>
        <x:v>0</x:v>
      </x:c>
      <x:c r="N39" s="136" t="n">
        <x:f>IF(C39=0,0,ROUND(IF(B39='参数输入'!$B$8,L39-SUMIFS($N$3:$N$122,$A$3:$A$122,A39,$B$3:$B$122,"&lt;"&amp;B39),L39*J39),2))</x:f>
        <x:v>0</x:v>
      </x:c>
      <x:c r="O39" s="128" t="n">
        <x:v>0</x:v>
      </x:c>
      <x:c r="P39" s="136" t="n">
        <x:f>ROUND(I39+O39,2)</x:f>
        <x:v>0</x:v>
      </x:c>
      <x:c r="Q39" s="123" t="str">
        <x:f>IF(C39=0,"",IF(B39=1,'参数输入'!$B$10,EDATE('参数输入'!$B$24,B39-1)+1))</x:f>
      </x:c>
      <x:c r="R39" s="123" t="str">
        <x:f>IF(C39=0,"",EDATE('参数输入'!$B$24,B39))</x:f>
      </x:c>
    </x:row>
    <x:row r="40">
      <x:c r="A40" s="101" t="str">
        <x:v>V04</x:v>
      </x:c>
      <x:c r="B40" s="101" t="n">
        <x:v>2</x:v>
      </x:c>
      <x:c r="C40" s="101" t="n">
        <x:f>IF(AND(SUM('车辆输入'!$B$8:$F$8)&gt;0,B40&lt;='参数输入'!$B$8),1,0)</x:f>
        <x:v>0</x:v>
      </x:c>
      <x:c r="D40" s="136" t="n">
        <x:f>IF(C40=1,ROUND(MAX('车辆输入'!$M$8-ROUND('车辆输入'!$M$8/'参数输入'!$B$8,2)*(B40-1),0),2),0)</x:f>
        <x:v>0</x:v>
      </x:c>
      <x:c r="E40" s="136" t="n">
        <x:f>IF(AND(C40=1,B40&lt;='参数输入'!$B$9),ROUND(MAX('车辆输入'!$N$8-ROUND('车辆输入'!$N$8/MAX('参数输入'!$B$9,1),2)*(B40-1),0),2),0)</x:f>
        <x:v>0</x:v>
      </x:c>
      <x:c r="F40" s="136" t="n">
        <x:f>ROUND(D40+E40,2)</x:f>
        <x:v>0</x:v>
      </x:c>
      <x:c r="G40" s="136" t="n">
        <x:f>IF(C40=0,0,ROUND(IF(B40='参数输入'!$B$8,D40,MIN(D40,ROUND('车辆输入'!$M$8/'参数输入'!$B$8,2))),2))</x:f>
        <x:v>0</x:v>
      </x:c>
      <x:c r="H40" s="136" t="n">
        <x:f>IF(OR(C40=0,'参数输入'!$B$9=0,B40&gt;'参数输入'!$B$9),0,ROUND(IF(B40='参数输入'!$B$9,E40,MIN(E40,ROUND('车辆输入'!$N$8/'参数输入'!$B$9,2))),2))</x:f>
        <x:v>0</x:v>
      </x:c>
      <x:c r="I40" s="136" t="n">
        <x:f>ROUND(G40+H40,2)</x:f>
        <x:v>0</x:v>
      </x:c>
      <x:c r="J40" s="137" t="n">
        <x:f>IF(C40=1,F40/SUMIFS($F$3:$F$122,$A$3:$A$122,A40,$C$3:$C$122,1),0)</x:f>
        <x:v>0</x:v>
      </x:c>
      <x:c r="K40" s="136" t="n">
        <x:f>IF(C40=1,ROUND('车辆输入'!$K$8+'车辆输入'!$L$8,2),0)</x:f>
        <x:v>0</x:v>
      </x:c>
      <x:c r="L40" s="136" t="n">
        <x:f>IF(C40=1,ROUND(('车辆输入'!$M$8+'车辆输入'!$N$8)*'参数输入'!$B$20,2),0)</x:f>
        <x:v>0</x:v>
      </x:c>
      <x:c r="M40" s="136" t="n">
        <x:f>IF(C40=0,0,ROUND(IF(B40='参数输入'!$B$8,K40-SUMIFS($M$3:$M$122,$A$3:$A$122,A40,$B$3:$B$122,"&lt;"&amp;B40),K40*J40),2))</x:f>
        <x:v>0</x:v>
      </x:c>
      <x:c r="N40" s="136" t="n">
        <x:f>IF(C40=0,0,ROUND(IF(B40='参数输入'!$B$8,L40-SUMIFS($N$3:$N$122,$A$3:$A$122,A40,$B$3:$B$122,"&lt;"&amp;B40),L40*J40),2))</x:f>
        <x:v>0</x:v>
      </x:c>
      <x:c r="O40" s="128" t="n">
        <x:v>0</x:v>
      </x:c>
      <x:c r="P40" s="136" t="n">
        <x:f>ROUND(I40+O40,2)</x:f>
        <x:v>0</x:v>
      </x:c>
      <x:c r="Q40" s="123" t="str">
        <x:f>IF(C40=0,"",IF(B40=1,'参数输入'!$B$10,EDATE('参数输入'!$B$24,B40-1)+1))</x:f>
      </x:c>
      <x:c r="R40" s="123" t="str">
        <x:f>IF(C40=0,"",EDATE('参数输入'!$B$24,B40))</x:f>
      </x:c>
    </x:row>
    <x:row r="41">
      <x:c r="A41" s="101" t="str">
        <x:v>V04</x:v>
      </x:c>
      <x:c r="B41" s="101" t="n">
        <x:v>3</x:v>
      </x:c>
      <x:c r="C41" s="101" t="n">
        <x:f>IF(AND(SUM('车辆输入'!$B$8:$F$8)&gt;0,B41&lt;='参数输入'!$B$8),1,0)</x:f>
        <x:v>0</x:v>
      </x:c>
      <x:c r="D41" s="136" t="n">
        <x:f>IF(C41=1,ROUND(MAX('车辆输入'!$M$8-ROUND('车辆输入'!$M$8/'参数输入'!$B$8,2)*(B41-1),0),2),0)</x:f>
        <x:v>0</x:v>
      </x:c>
      <x:c r="E41" s="136" t="n">
        <x:f>IF(AND(C41=1,B41&lt;='参数输入'!$B$9),ROUND(MAX('车辆输入'!$N$8-ROUND('车辆输入'!$N$8/MAX('参数输入'!$B$9,1),2)*(B41-1),0),2),0)</x:f>
        <x:v>0</x:v>
      </x:c>
      <x:c r="F41" s="136" t="n">
        <x:f>ROUND(D41+E41,2)</x:f>
        <x:v>0</x:v>
      </x:c>
      <x:c r="G41" s="136" t="n">
        <x:f>IF(C41=0,0,ROUND(IF(B41='参数输入'!$B$8,D41,MIN(D41,ROUND('车辆输入'!$M$8/'参数输入'!$B$8,2))),2))</x:f>
        <x:v>0</x:v>
      </x:c>
      <x:c r="H41" s="136" t="n">
        <x:f>IF(OR(C41=0,'参数输入'!$B$9=0,B41&gt;'参数输入'!$B$9),0,ROUND(IF(B41='参数输入'!$B$9,E41,MIN(E41,ROUND('车辆输入'!$N$8/'参数输入'!$B$9,2))),2))</x:f>
        <x:v>0</x:v>
      </x:c>
      <x:c r="I41" s="136" t="n">
        <x:f>ROUND(G41+H41,2)</x:f>
        <x:v>0</x:v>
      </x:c>
      <x:c r="J41" s="137" t="n">
        <x:f>IF(C41=1,F41/SUMIFS($F$3:$F$122,$A$3:$A$122,A41,$C$3:$C$122,1),0)</x:f>
        <x:v>0</x:v>
      </x:c>
      <x:c r="K41" s="136" t="n">
        <x:f>IF(C41=1,ROUND('车辆输入'!$K$8+'车辆输入'!$L$8,2),0)</x:f>
        <x:v>0</x:v>
      </x:c>
      <x:c r="L41" s="136" t="n">
        <x:f>IF(C41=1,ROUND(('车辆输入'!$M$8+'车辆输入'!$N$8)*'参数输入'!$B$20,2),0)</x:f>
        <x:v>0</x:v>
      </x:c>
      <x:c r="M41" s="136" t="n">
        <x:f>IF(C41=0,0,ROUND(IF(B41='参数输入'!$B$8,K41-SUMIFS($M$3:$M$122,$A$3:$A$122,A41,$B$3:$B$122,"&lt;"&amp;B41),K41*J41),2))</x:f>
        <x:v>0</x:v>
      </x:c>
      <x:c r="N41" s="136" t="n">
        <x:f>IF(C41=0,0,ROUND(IF(B41='参数输入'!$B$8,L41-SUMIFS($N$3:$N$122,$A$3:$A$122,A41,$B$3:$B$122,"&lt;"&amp;B41),L41*J41),2))</x:f>
        <x:v>0</x:v>
      </x:c>
      <x:c r="O41" s="128" t="n">
        <x:v>0</x:v>
      </x:c>
      <x:c r="P41" s="136" t="n">
        <x:f>ROUND(I41+O41,2)</x:f>
        <x:v>0</x:v>
      </x:c>
      <x:c r="Q41" s="123" t="str">
        <x:f>IF(C41=0,"",IF(B41=1,'参数输入'!$B$10,EDATE('参数输入'!$B$24,B41-1)+1))</x:f>
      </x:c>
      <x:c r="R41" s="123" t="str">
        <x:f>IF(C41=0,"",EDATE('参数输入'!$B$24,B41))</x:f>
      </x:c>
    </x:row>
    <x:row r="42">
      <x:c r="A42" s="101" t="str">
        <x:v>V04</x:v>
      </x:c>
      <x:c r="B42" s="101" t="n">
        <x:v>4</x:v>
      </x:c>
      <x:c r="C42" s="101" t="n">
        <x:f>IF(AND(SUM('车辆输入'!$B$8:$F$8)&gt;0,B42&lt;='参数输入'!$B$8),1,0)</x:f>
        <x:v>0</x:v>
      </x:c>
      <x:c r="D42" s="136" t="n">
        <x:f>IF(C42=1,ROUND(MAX('车辆输入'!$M$8-ROUND('车辆输入'!$M$8/'参数输入'!$B$8,2)*(B42-1),0),2),0)</x:f>
        <x:v>0</x:v>
      </x:c>
      <x:c r="E42" s="136" t="n">
        <x:f>IF(AND(C42=1,B42&lt;='参数输入'!$B$9),ROUND(MAX('车辆输入'!$N$8-ROUND('车辆输入'!$N$8/MAX('参数输入'!$B$9,1),2)*(B42-1),0),2),0)</x:f>
        <x:v>0</x:v>
      </x:c>
      <x:c r="F42" s="136" t="n">
        <x:f>ROUND(D42+E42,2)</x:f>
        <x:v>0</x:v>
      </x:c>
      <x:c r="G42" s="136" t="n">
        <x:f>IF(C42=0,0,ROUND(IF(B42='参数输入'!$B$8,D42,MIN(D42,ROUND('车辆输入'!$M$8/'参数输入'!$B$8,2))),2))</x:f>
        <x:v>0</x:v>
      </x:c>
      <x:c r="H42" s="136" t="n">
        <x:f>IF(OR(C42=0,'参数输入'!$B$9=0,B42&gt;'参数输入'!$B$9),0,ROUND(IF(B42='参数输入'!$B$9,E42,MIN(E42,ROUND('车辆输入'!$N$8/'参数输入'!$B$9,2))),2))</x:f>
        <x:v>0</x:v>
      </x:c>
      <x:c r="I42" s="136" t="n">
        <x:f>ROUND(G42+H42,2)</x:f>
        <x:v>0</x:v>
      </x:c>
      <x:c r="J42" s="137" t="n">
        <x:f>IF(C42=1,F42/SUMIFS($F$3:$F$122,$A$3:$A$122,A42,$C$3:$C$122,1),0)</x:f>
        <x:v>0</x:v>
      </x:c>
      <x:c r="K42" s="136" t="n">
        <x:f>IF(C42=1,ROUND('车辆输入'!$K$8+'车辆输入'!$L$8,2),0)</x:f>
        <x:v>0</x:v>
      </x:c>
      <x:c r="L42" s="136" t="n">
        <x:f>IF(C42=1,ROUND(('车辆输入'!$M$8+'车辆输入'!$N$8)*'参数输入'!$B$20,2),0)</x:f>
        <x:v>0</x:v>
      </x:c>
      <x:c r="M42" s="136" t="n">
        <x:f>IF(C42=0,0,ROUND(IF(B42='参数输入'!$B$8,K42-SUMIFS($M$3:$M$122,$A$3:$A$122,A42,$B$3:$B$122,"&lt;"&amp;B42),K42*J42),2))</x:f>
        <x:v>0</x:v>
      </x:c>
      <x:c r="N42" s="136" t="n">
        <x:f>IF(C42=0,0,ROUND(IF(B42='参数输入'!$B$8,L42-SUMIFS($N$3:$N$122,$A$3:$A$122,A42,$B$3:$B$122,"&lt;"&amp;B42),L42*J42),2))</x:f>
        <x:v>0</x:v>
      </x:c>
      <x:c r="O42" s="128" t="n">
        <x:v>0</x:v>
      </x:c>
      <x:c r="P42" s="136" t="n">
        <x:f>ROUND(I42+O42,2)</x:f>
        <x:v>0</x:v>
      </x:c>
      <x:c r="Q42" s="123" t="str">
        <x:f>IF(C42=0,"",IF(B42=1,'参数输入'!$B$10,EDATE('参数输入'!$B$24,B42-1)+1))</x:f>
      </x:c>
      <x:c r="R42" s="123" t="str">
        <x:f>IF(C42=0,"",EDATE('参数输入'!$B$24,B42))</x:f>
      </x:c>
    </x:row>
    <x:row r="43">
      <x:c r="A43" s="101" t="str">
        <x:v>V04</x:v>
      </x:c>
      <x:c r="B43" s="101" t="n">
        <x:v>5</x:v>
      </x:c>
      <x:c r="C43" s="101" t="n">
        <x:f>IF(AND(SUM('车辆输入'!$B$8:$F$8)&gt;0,B43&lt;='参数输入'!$B$8),1,0)</x:f>
        <x:v>0</x:v>
      </x:c>
      <x:c r="D43" s="136" t="n">
        <x:f>IF(C43=1,ROUND(MAX('车辆输入'!$M$8-ROUND('车辆输入'!$M$8/'参数输入'!$B$8,2)*(B43-1),0),2),0)</x:f>
        <x:v>0</x:v>
      </x:c>
      <x:c r="E43" s="136" t="n">
        <x:f>IF(AND(C43=1,B43&lt;='参数输入'!$B$9),ROUND(MAX('车辆输入'!$N$8-ROUND('车辆输入'!$N$8/MAX('参数输入'!$B$9,1),2)*(B43-1),0),2),0)</x:f>
        <x:v>0</x:v>
      </x:c>
      <x:c r="F43" s="136" t="n">
        <x:f>ROUND(D43+E43,2)</x:f>
        <x:v>0</x:v>
      </x:c>
      <x:c r="G43" s="136" t="n">
        <x:f>IF(C43=0,0,ROUND(IF(B43='参数输入'!$B$8,D43,MIN(D43,ROUND('车辆输入'!$M$8/'参数输入'!$B$8,2))),2))</x:f>
        <x:v>0</x:v>
      </x:c>
      <x:c r="H43" s="136" t="n">
        <x:f>IF(OR(C43=0,'参数输入'!$B$9=0,B43&gt;'参数输入'!$B$9),0,ROUND(IF(B43='参数输入'!$B$9,E43,MIN(E43,ROUND('车辆输入'!$N$8/'参数输入'!$B$9,2))),2))</x:f>
        <x:v>0</x:v>
      </x:c>
      <x:c r="I43" s="136" t="n">
        <x:f>ROUND(G43+H43,2)</x:f>
        <x:v>0</x:v>
      </x:c>
      <x:c r="J43" s="137" t="n">
        <x:f>IF(C43=1,F43/SUMIFS($F$3:$F$122,$A$3:$A$122,A43,$C$3:$C$122,1),0)</x:f>
        <x:v>0</x:v>
      </x:c>
      <x:c r="K43" s="136" t="n">
        <x:f>IF(C43=1,ROUND('车辆输入'!$K$8+'车辆输入'!$L$8,2),0)</x:f>
        <x:v>0</x:v>
      </x:c>
      <x:c r="L43" s="136" t="n">
        <x:f>IF(C43=1,ROUND(('车辆输入'!$M$8+'车辆输入'!$N$8)*'参数输入'!$B$20,2),0)</x:f>
        <x:v>0</x:v>
      </x:c>
      <x:c r="M43" s="136" t="n">
        <x:f>IF(C43=0,0,ROUND(IF(B43='参数输入'!$B$8,K43-SUMIFS($M$3:$M$122,$A$3:$A$122,A43,$B$3:$B$122,"&lt;"&amp;B43),K43*J43),2))</x:f>
        <x:v>0</x:v>
      </x:c>
      <x:c r="N43" s="136" t="n">
        <x:f>IF(C43=0,0,ROUND(IF(B43='参数输入'!$B$8,L43-SUMIFS($N$3:$N$122,$A$3:$A$122,A43,$B$3:$B$122,"&lt;"&amp;B43),L43*J43),2))</x:f>
        <x:v>0</x:v>
      </x:c>
      <x:c r="O43" s="128" t="n">
        <x:v>0</x:v>
      </x:c>
      <x:c r="P43" s="136" t="n">
        <x:f>ROUND(I43+O43,2)</x:f>
        <x:v>0</x:v>
      </x:c>
      <x:c r="Q43" s="123" t="str">
        <x:f>IF(C43=0,"",IF(B43=1,'参数输入'!$B$10,EDATE('参数输入'!$B$24,B43-1)+1))</x:f>
      </x:c>
      <x:c r="R43" s="123" t="str">
        <x:f>IF(C43=0,"",EDATE('参数输入'!$B$24,B43))</x:f>
      </x:c>
    </x:row>
    <x:row r="44">
      <x:c r="A44" s="101" t="str">
        <x:v>V04</x:v>
      </x:c>
      <x:c r="B44" s="101" t="n">
        <x:v>6</x:v>
      </x:c>
      <x:c r="C44" s="101" t="n">
        <x:f>IF(AND(SUM('车辆输入'!$B$8:$F$8)&gt;0,B44&lt;='参数输入'!$B$8),1,0)</x:f>
        <x:v>0</x:v>
      </x:c>
      <x:c r="D44" s="136" t="n">
        <x:f>IF(C44=1,ROUND(MAX('车辆输入'!$M$8-ROUND('车辆输入'!$M$8/'参数输入'!$B$8,2)*(B44-1),0),2),0)</x:f>
        <x:v>0</x:v>
      </x:c>
      <x:c r="E44" s="136" t="n">
        <x:f>IF(AND(C44=1,B44&lt;='参数输入'!$B$9),ROUND(MAX('车辆输入'!$N$8-ROUND('车辆输入'!$N$8/MAX('参数输入'!$B$9,1),2)*(B44-1),0),2),0)</x:f>
        <x:v>0</x:v>
      </x:c>
      <x:c r="F44" s="136" t="n">
        <x:f>ROUND(D44+E44,2)</x:f>
        <x:v>0</x:v>
      </x:c>
      <x:c r="G44" s="136" t="n">
        <x:f>IF(C44=0,0,ROUND(IF(B44='参数输入'!$B$8,D44,MIN(D44,ROUND('车辆输入'!$M$8/'参数输入'!$B$8,2))),2))</x:f>
        <x:v>0</x:v>
      </x:c>
      <x:c r="H44" s="136" t="n">
        <x:f>IF(OR(C44=0,'参数输入'!$B$9=0,B44&gt;'参数输入'!$B$9),0,ROUND(IF(B44='参数输入'!$B$9,E44,MIN(E44,ROUND('车辆输入'!$N$8/'参数输入'!$B$9,2))),2))</x:f>
        <x:v>0</x:v>
      </x:c>
      <x:c r="I44" s="136" t="n">
        <x:f>ROUND(G44+H44,2)</x:f>
        <x:v>0</x:v>
      </x:c>
      <x:c r="J44" s="137" t="n">
        <x:f>IF(C44=1,F44/SUMIFS($F$3:$F$122,$A$3:$A$122,A44,$C$3:$C$122,1),0)</x:f>
        <x:v>0</x:v>
      </x:c>
      <x:c r="K44" s="136" t="n">
        <x:f>IF(C44=1,ROUND('车辆输入'!$K$8+'车辆输入'!$L$8,2),0)</x:f>
        <x:v>0</x:v>
      </x:c>
      <x:c r="L44" s="136" t="n">
        <x:f>IF(C44=1,ROUND(('车辆输入'!$M$8+'车辆输入'!$N$8)*'参数输入'!$B$20,2),0)</x:f>
        <x:v>0</x:v>
      </x:c>
      <x:c r="M44" s="136" t="n">
        <x:f>IF(C44=0,0,ROUND(IF(B44='参数输入'!$B$8,K44-SUMIFS($M$3:$M$122,$A$3:$A$122,A44,$B$3:$B$122,"&lt;"&amp;B44),K44*J44),2))</x:f>
        <x:v>0</x:v>
      </x:c>
      <x:c r="N44" s="136" t="n">
        <x:f>IF(C44=0,0,ROUND(IF(B44='参数输入'!$B$8,L44-SUMIFS($N$3:$N$122,$A$3:$A$122,A44,$B$3:$B$122,"&lt;"&amp;B44),L44*J44),2))</x:f>
        <x:v>0</x:v>
      </x:c>
      <x:c r="O44" s="128" t="n">
        <x:v>0</x:v>
      </x:c>
      <x:c r="P44" s="136" t="n">
        <x:f>ROUND(I44+O44,2)</x:f>
        <x:v>0</x:v>
      </x:c>
      <x:c r="Q44" s="123" t="str">
        <x:f>IF(C44=0,"",IF(B44=1,'参数输入'!$B$10,EDATE('参数输入'!$B$24,B44-1)+1))</x:f>
      </x:c>
      <x:c r="R44" s="123" t="str">
        <x:f>IF(C44=0,"",EDATE('参数输入'!$B$24,B44))</x:f>
      </x:c>
    </x:row>
    <x:row r="45">
      <x:c r="A45" s="101" t="str">
        <x:v>V04</x:v>
      </x:c>
      <x:c r="B45" s="101" t="n">
        <x:v>7</x:v>
      </x:c>
      <x:c r="C45" s="101" t="n">
        <x:f>IF(AND(SUM('车辆输入'!$B$8:$F$8)&gt;0,B45&lt;='参数输入'!$B$8),1,0)</x:f>
        <x:v>0</x:v>
      </x:c>
      <x:c r="D45" s="136" t="n">
        <x:f>IF(C45=1,ROUND(MAX('车辆输入'!$M$8-ROUND('车辆输入'!$M$8/'参数输入'!$B$8,2)*(B45-1),0),2),0)</x:f>
        <x:v>0</x:v>
      </x:c>
      <x:c r="E45" s="136" t="n">
        <x:f>IF(AND(C45=1,B45&lt;='参数输入'!$B$9),ROUND(MAX('车辆输入'!$N$8-ROUND('车辆输入'!$N$8/MAX('参数输入'!$B$9,1),2)*(B45-1),0),2),0)</x:f>
        <x:v>0</x:v>
      </x:c>
      <x:c r="F45" s="136" t="n">
        <x:f>ROUND(D45+E45,2)</x:f>
        <x:v>0</x:v>
      </x:c>
      <x:c r="G45" s="136" t="n">
        <x:f>IF(C45=0,0,ROUND(IF(B45='参数输入'!$B$8,D45,MIN(D45,ROUND('车辆输入'!$M$8/'参数输入'!$B$8,2))),2))</x:f>
        <x:v>0</x:v>
      </x:c>
      <x:c r="H45" s="136" t="n">
        <x:f>IF(OR(C45=0,'参数输入'!$B$9=0,B45&gt;'参数输入'!$B$9),0,ROUND(IF(B45='参数输入'!$B$9,E45,MIN(E45,ROUND('车辆输入'!$N$8/'参数输入'!$B$9,2))),2))</x:f>
        <x:v>0</x:v>
      </x:c>
      <x:c r="I45" s="136" t="n">
        <x:f>ROUND(G45+H45,2)</x:f>
        <x:v>0</x:v>
      </x:c>
      <x:c r="J45" s="137" t="n">
        <x:f>IF(C45=1,F45/SUMIFS($F$3:$F$122,$A$3:$A$122,A45,$C$3:$C$122,1),0)</x:f>
        <x:v>0</x:v>
      </x:c>
      <x:c r="K45" s="136" t="n">
        <x:f>IF(C45=1,ROUND('车辆输入'!$K$8+'车辆输入'!$L$8,2),0)</x:f>
        <x:v>0</x:v>
      </x:c>
      <x:c r="L45" s="136" t="n">
        <x:f>IF(C45=1,ROUND(('车辆输入'!$M$8+'车辆输入'!$N$8)*'参数输入'!$B$20,2),0)</x:f>
        <x:v>0</x:v>
      </x:c>
      <x:c r="M45" s="136" t="n">
        <x:f>IF(C45=0,0,ROUND(IF(B45='参数输入'!$B$8,K45-SUMIFS($M$3:$M$122,$A$3:$A$122,A45,$B$3:$B$122,"&lt;"&amp;B45),K45*J45),2))</x:f>
        <x:v>0</x:v>
      </x:c>
      <x:c r="N45" s="136" t="n">
        <x:f>IF(C45=0,0,ROUND(IF(B45='参数输入'!$B$8,L45-SUMIFS($N$3:$N$122,$A$3:$A$122,A45,$B$3:$B$122,"&lt;"&amp;B45),L45*J45),2))</x:f>
        <x:v>0</x:v>
      </x:c>
      <x:c r="O45" s="128" t="n">
        <x:v>0</x:v>
      </x:c>
      <x:c r="P45" s="136" t="n">
        <x:f>ROUND(I45+O45,2)</x:f>
        <x:v>0</x:v>
      </x:c>
      <x:c r="Q45" s="123" t="str">
        <x:f>IF(C45=0,"",IF(B45=1,'参数输入'!$B$10,EDATE('参数输入'!$B$24,B45-1)+1))</x:f>
      </x:c>
      <x:c r="R45" s="123" t="str">
        <x:f>IF(C45=0,"",EDATE('参数输入'!$B$24,B45))</x:f>
      </x:c>
    </x:row>
    <x:row r="46">
      <x:c r="A46" s="101" t="str">
        <x:v>V04</x:v>
      </x:c>
      <x:c r="B46" s="101" t="n">
        <x:v>8</x:v>
      </x:c>
      <x:c r="C46" s="101" t="n">
        <x:f>IF(AND(SUM('车辆输入'!$B$8:$F$8)&gt;0,B46&lt;='参数输入'!$B$8),1,0)</x:f>
        <x:v>0</x:v>
      </x:c>
      <x:c r="D46" s="136" t="n">
        <x:f>IF(C46=1,ROUND(MAX('车辆输入'!$M$8-ROUND('车辆输入'!$M$8/'参数输入'!$B$8,2)*(B46-1),0),2),0)</x:f>
        <x:v>0</x:v>
      </x:c>
      <x:c r="E46" s="136" t="n">
        <x:f>IF(AND(C46=1,B46&lt;='参数输入'!$B$9),ROUND(MAX('车辆输入'!$N$8-ROUND('车辆输入'!$N$8/MAX('参数输入'!$B$9,1),2)*(B46-1),0),2),0)</x:f>
        <x:v>0</x:v>
      </x:c>
      <x:c r="F46" s="136" t="n">
        <x:f>ROUND(D46+E46,2)</x:f>
        <x:v>0</x:v>
      </x:c>
      <x:c r="G46" s="136" t="n">
        <x:f>IF(C46=0,0,ROUND(IF(B46='参数输入'!$B$8,D46,MIN(D46,ROUND('车辆输入'!$M$8/'参数输入'!$B$8,2))),2))</x:f>
        <x:v>0</x:v>
      </x:c>
      <x:c r="H46" s="136" t="n">
        <x:f>IF(OR(C46=0,'参数输入'!$B$9=0,B46&gt;'参数输入'!$B$9),0,ROUND(IF(B46='参数输入'!$B$9,E46,MIN(E46,ROUND('车辆输入'!$N$8/'参数输入'!$B$9,2))),2))</x:f>
        <x:v>0</x:v>
      </x:c>
      <x:c r="I46" s="136" t="n">
        <x:f>ROUND(G46+H46,2)</x:f>
        <x:v>0</x:v>
      </x:c>
      <x:c r="J46" s="137" t="n">
        <x:f>IF(C46=1,F46/SUMIFS($F$3:$F$122,$A$3:$A$122,A46,$C$3:$C$122,1),0)</x:f>
        <x:v>0</x:v>
      </x:c>
      <x:c r="K46" s="136" t="n">
        <x:f>IF(C46=1,ROUND('车辆输入'!$K$8+'车辆输入'!$L$8,2),0)</x:f>
        <x:v>0</x:v>
      </x:c>
      <x:c r="L46" s="136" t="n">
        <x:f>IF(C46=1,ROUND(('车辆输入'!$M$8+'车辆输入'!$N$8)*'参数输入'!$B$20,2),0)</x:f>
        <x:v>0</x:v>
      </x:c>
      <x:c r="M46" s="136" t="n">
        <x:f>IF(C46=0,0,ROUND(IF(B46='参数输入'!$B$8,K46-SUMIFS($M$3:$M$122,$A$3:$A$122,A46,$B$3:$B$122,"&lt;"&amp;B46),K46*J46),2))</x:f>
        <x:v>0</x:v>
      </x:c>
      <x:c r="N46" s="136" t="n">
        <x:f>IF(C46=0,0,ROUND(IF(B46='参数输入'!$B$8,L46-SUMIFS($N$3:$N$122,$A$3:$A$122,A46,$B$3:$B$122,"&lt;"&amp;B46),L46*J46),2))</x:f>
        <x:v>0</x:v>
      </x:c>
      <x:c r="O46" s="128" t="n">
        <x:v>0</x:v>
      </x:c>
      <x:c r="P46" s="136" t="n">
        <x:f>ROUND(I46+O46,2)</x:f>
        <x:v>0</x:v>
      </x:c>
      <x:c r="Q46" s="123" t="str">
        <x:f>IF(C46=0,"",IF(B46=1,'参数输入'!$B$10,EDATE('参数输入'!$B$24,B46-1)+1))</x:f>
      </x:c>
      <x:c r="R46" s="123" t="str">
        <x:f>IF(C46=0,"",EDATE('参数输入'!$B$24,B46))</x:f>
      </x:c>
    </x:row>
    <x:row r="47">
      <x:c r="A47" s="101" t="str">
        <x:v>V04</x:v>
      </x:c>
      <x:c r="B47" s="101" t="n">
        <x:v>9</x:v>
      </x:c>
      <x:c r="C47" s="101" t="n">
        <x:f>IF(AND(SUM('车辆输入'!$B$8:$F$8)&gt;0,B47&lt;='参数输入'!$B$8),1,0)</x:f>
        <x:v>0</x:v>
      </x:c>
      <x:c r="D47" s="136" t="n">
        <x:f>IF(C47=1,ROUND(MAX('车辆输入'!$M$8-ROUND('车辆输入'!$M$8/'参数输入'!$B$8,2)*(B47-1),0),2),0)</x:f>
        <x:v>0</x:v>
      </x:c>
      <x:c r="E47" s="136" t="n">
        <x:f>IF(AND(C47=1,B47&lt;='参数输入'!$B$9),ROUND(MAX('车辆输入'!$N$8-ROUND('车辆输入'!$N$8/MAX('参数输入'!$B$9,1),2)*(B47-1),0),2),0)</x:f>
        <x:v>0</x:v>
      </x:c>
      <x:c r="F47" s="136" t="n">
        <x:f>ROUND(D47+E47,2)</x:f>
        <x:v>0</x:v>
      </x:c>
      <x:c r="G47" s="136" t="n">
        <x:f>IF(C47=0,0,ROUND(IF(B47='参数输入'!$B$8,D47,MIN(D47,ROUND('车辆输入'!$M$8/'参数输入'!$B$8,2))),2))</x:f>
        <x:v>0</x:v>
      </x:c>
      <x:c r="H47" s="136" t="n">
        <x:f>IF(OR(C47=0,'参数输入'!$B$9=0,B47&gt;'参数输入'!$B$9),0,ROUND(IF(B47='参数输入'!$B$9,E47,MIN(E47,ROUND('车辆输入'!$N$8/'参数输入'!$B$9,2))),2))</x:f>
        <x:v>0</x:v>
      </x:c>
      <x:c r="I47" s="136" t="n">
        <x:f>ROUND(G47+H47,2)</x:f>
        <x:v>0</x:v>
      </x:c>
      <x:c r="J47" s="137" t="n">
        <x:f>IF(C47=1,F47/SUMIFS($F$3:$F$122,$A$3:$A$122,A47,$C$3:$C$122,1),0)</x:f>
        <x:v>0</x:v>
      </x:c>
      <x:c r="K47" s="136" t="n">
        <x:f>IF(C47=1,ROUND('车辆输入'!$K$8+'车辆输入'!$L$8,2),0)</x:f>
        <x:v>0</x:v>
      </x:c>
      <x:c r="L47" s="136" t="n">
        <x:f>IF(C47=1,ROUND(('车辆输入'!$M$8+'车辆输入'!$N$8)*'参数输入'!$B$20,2),0)</x:f>
        <x:v>0</x:v>
      </x:c>
      <x:c r="M47" s="136" t="n">
        <x:f>IF(C47=0,0,ROUND(IF(B47='参数输入'!$B$8,K47-SUMIFS($M$3:$M$122,$A$3:$A$122,A47,$B$3:$B$122,"&lt;"&amp;B47),K47*J47),2))</x:f>
        <x:v>0</x:v>
      </x:c>
      <x:c r="N47" s="136" t="n">
        <x:f>IF(C47=0,0,ROUND(IF(B47='参数输入'!$B$8,L47-SUMIFS($N$3:$N$122,$A$3:$A$122,A47,$B$3:$B$122,"&lt;"&amp;B47),L47*J47),2))</x:f>
        <x:v>0</x:v>
      </x:c>
      <x:c r="O47" s="128" t="n">
        <x:v>0</x:v>
      </x:c>
      <x:c r="P47" s="136" t="n">
        <x:f>ROUND(I47+O47,2)</x:f>
        <x:v>0</x:v>
      </x:c>
      <x:c r="Q47" s="123" t="str">
        <x:f>IF(C47=0,"",IF(B47=1,'参数输入'!$B$10,EDATE('参数输入'!$B$24,B47-1)+1))</x:f>
      </x:c>
      <x:c r="R47" s="123" t="str">
        <x:f>IF(C47=0,"",EDATE('参数输入'!$B$24,B47))</x:f>
      </x:c>
    </x:row>
    <x:row r="48">
      <x:c r="A48" s="101" t="str">
        <x:v>V04</x:v>
      </x:c>
      <x:c r="B48" s="101" t="n">
        <x:v>10</x:v>
      </x:c>
      <x:c r="C48" s="101" t="n">
        <x:f>IF(AND(SUM('车辆输入'!$B$8:$F$8)&gt;0,B48&lt;='参数输入'!$B$8),1,0)</x:f>
        <x:v>0</x:v>
      </x:c>
      <x:c r="D48" s="136" t="n">
        <x:f>IF(C48=1,ROUND(MAX('车辆输入'!$M$8-ROUND('车辆输入'!$M$8/'参数输入'!$B$8,2)*(B48-1),0),2),0)</x:f>
        <x:v>0</x:v>
      </x:c>
      <x:c r="E48" s="136" t="n">
        <x:f>IF(AND(C48=1,B48&lt;='参数输入'!$B$9),ROUND(MAX('车辆输入'!$N$8-ROUND('车辆输入'!$N$8/MAX('参数输入'!$B$9,1),2)*(B48-1),0),2),0)</x:f>
        <x:v>0</x:v>
      </x:c>
      <x:c r="F48" s="136" t="n">
        <x:f>ROUND(D48+E48,2)</x:f>
        <x:v>0</x:v>
      </x:c>
      <x:c r="G48" s="136" t="n">
        <x:f>IF(C48=0,0,ROUND(IF(B48='参数输入'!$B$8,D48,MIN(D48,ROUND('车辆输入'!$M$8/'参数输入'!$B$8,2))),2))</x:f>
        <x:v>0</x:v>
      </x:c>
      <x:c r="H48" s="136" t="n">
        <x:f>IF(OR(C48=0,'参数输入'!$B$9=0,B48&gt;'参数输入'!$B$9),0,ROUND(IF(B48='参数输入'!$B$9,E48,MIN(E48,ROUND('车辆输入'!$N$8/'参数输入'!$B$9,2))),2))</x:f>
        <x:v>0</x:v>
      </x:c>
      <x:c r="I48" s="136" t="n">
        <x:f>ROUND(G48+H48,2)</x:f>
        <x:v>0</x:v>
      </x:c>
      <x:c r="J48" s="137" t="n">
        <x:f>IF(C48=1,F48/SUMIFS($F$3:$F$122,$A$3:$A$122,A48,$C$3:$C$122,1),0)</x:f>
        <x:v>0</x:v>
      </x:c>
      <x:c r="K48" s="136" t="n">
        <x:f>IF(C48=1,ROUND('车辆输入'!$K$8+'车辆输入'!$L$8,2),0)</x:f>
        <x:v>0</x:v>
      </x:c>
      <x:c r="L48" s="136" t="n">
        <x:f>IF(C48=1,ROUND(('车辆输入'!$M$8+'车辆输入'!$N$8)*'参数输入'!$B$20,2),0)</x:f>
        <x:v>0</x:v>
      </x:c>
      <x:c r="M48" s="136" t="n">
        <x:f>IF(C48=0,0,ROUND(IF(B48='参数输入'!$B$8,K48-SUMIFS($M$3:$M$122,$A$3:$A$122,A48,$B$3:$B$122,"&lt;"&amp;B48),K48*J48),2))</x:f>
        <x:v>0</x:v>
      </x:c>
      <x:c r="N48" s="136" t="n">
        <x:f>IF(C48=0,0,ROUND(IF(B48='参数输入'!$B$8,L48-SUMIFS($N$3:$N$122,$A$3:$A$122,A48,$B$3:$B$122,"&lt;"&amp;B48),L48*J48),2))</x:f>
        <x:v>0</x:v>
      </x:c>
      <x:c r="O48" s="128" t="n">
        <x:v>0</x:v>
      </x:c>
      <x:c r="P48" s="136" t="n">
        <x:f>ROUND(I48+O48,2)</x:f>
        <x:v>0</x:v>
      </x:c>
      <x:c r="Q48" s="123" t="str">
        <x:f>IF(C48=0,"",IF(B48=1,'参数输入'!$B$10,EDATE('参数输入'!$B$24,B48-1)+1))</x:f>
      </x:c>
      <x:c r="R48" s="123" t="str">
        <x:f>IF(C48=0,"",EDATE('参数输入'!$B$24,B48))</x:f>
      </x:c>
    </x:row>
    <x:row r="49">
      <x:c r="A49" s="101" t="str">
        <x:v>V04</x:v>
      </x:c>
      <x:c r="B49" s="101" t="n">
        <x:v>11</x:v>
      </x:c>
      <x:c r="C49" s="101" t="n">
        <x:f>IF(AND(SUM('车辆输入'!$B$8:$F$8)&gt;0,B49&lt;='参数输入'!$B$8),1,0)</x:f>
        <x:v>0</x:v>
      </x:c>
      <x:c r="D49" s="136" t="n">
        <x:f>IF(C49=1,ROUND(MAX('车辆输入'!$M$8-ROUND('车辆输入'!$M$8/'参数输入'!$B$8,2)*(B49-1),0),2),0)</x:f>
        <x:v>0</x:v>
      </x:c>
      <x:c r="E49" s="136" t="n">
        <x:f>IF(AND(C49=1,B49&lt;='参数输入'!$B$9),ROUND(MAX('车辆输入'!$N$8-ROUND('车辆输入'!$N$8/MAX('参数输入'!$B$9,1),2)*(B49-1),0),2),0)</x:f>
        <x:v>0</x:v>
      </x:c>
      <x:c r="F49" s="136" t="n">
        <x:f>ROUND(D49+E49,2)</x:f>
        <x:v>0</x:v>
      </x:c>
      <x:c r="G49" s="136" t="n">
        <x:f>IF(C49=0,0,ROUND(IF(B49='参数输入'!$B$8,D49,MIN(D49,ROUND('车辆输入'!$M$8/'参数输入'!$B$8,2))),2))</x:f>
        <x:v>0</x:v>
      </x:c>
      <x:c r="H49" s="136" t="n">
        <x:f>IF(OR(C49=0,'参数输入'!$B$9=0,B49&gt;'参数输入'!$B$9),0,ROUND(IF(B49='参数输入'!$B$9,E49,MIN(E49,ROUND('车辆输入'!$N$8/'参数输入'!$B$9,2))),2))</x:f>
        <x:v>0</x:v>
      </x:c>
      <x:c r="I49" s="136" t="n">
        <x:f>ROUND(G49+H49,2)</x:f>
        <x:v>0</x:v>
      </x:c>
      <x:c r="J49" s="137" t="n">
        <x:f>IF(C49=1,F49/SUMIFS($F$3:$F$122,$A$3:$A$122,A49,$C$3:$C$122,1),0)</x:f>
        <x:v>0</x:v>
      </x:c>
      <x:c r="K49" s="136" t="n">
        <x:f>IF(C49=1,ROUND('车辆输入'!$K$8+'车辆输入'!$L$8,2),0)</x:f>
        <x:v>0</x:v>
      </x:c>
      <x:c r="L49" s="136" t="n">
        <x:f>IF(C49=1,ROUND(('车辆输入'!$M$8+'车辆输入'!$N$8)*'参数输入'!$B$20,2),0)</x:f>
        <x:v>0</x:v>
      </x:c>
      <x:c r="M49" s="136" t="n">
        <x:f>IF(C49=0,0,ROUND(IF(B49='参数输入'!$B$8,K49-SUMIFS($M$3:$M$122,$A$3:$A$122,A49,$B$3:$B$122,"&lt;"&amp;B49),K49*J49),2))</x:f>
        <x:v>0</x:v>
      </x:c>
      <x:c r="N49" s="136" t="n">
        <x:f>IF(C49=0,0,ROUND(IF(B49='参数输入'!$B$8,L49-SUMIFS($N$3:$N$122,$A$3:$A$122,A49,$B$3:$B$122,"&lt;"&amp;B49),L49*J49),2))</x:f>
        <x:v>0</x:v>
      </x:c>
      <x:c r="O49" s="128" t="n">
        <x:v>0</x:v>
      </x:c>
      <x:c r="P49" s="136" t="n">
        <x:f>ROUND(I49+O49,2)</x:f>
        <x:v>0</x:v>
      </x:c>
      <x:c r="Q49" s="123" t="str">
        <x:f>IF(C49=0,"",IF(B49=1,'参数输入'!$B$10,EDATE('参数输入'!$B$24,B49-1)+1))</x:f>
      </x:c>
      <x:c r="R49" s="123" t="str">
        <x:f>IF(C49=0,"",EDATE('参数输入'!$B$24,B49))</x:f>
      </x:c>
    </x:row>
    <x:row r="50">
      <x:c r="A50" s="101" t="str">
        <x:v>V04</x:v>
      </x:c>
      <x:c r="B50" s="101" t="n">
        <x:v>12</x:v>
      </x:c>
      <x:c r="C50" s="101" t="n">
        <x:f>IF(AND(SUM('车辆输入'!$B$8:$F$8)&gt;0,B50&lt;='参数输入'!$B$8),1,0)</x:f>
        <x:v>0</x:v>
      </x:c>
      <x:c r="D50" s="136" t="n">
        <x:f>IF(C50=1,ROUND(MAX('车辆输入'!$M$8-ROUND('车辆输入'!$M$8/'参数输入'!$B$8,2)*(B50-1),0),2),0)</x:f>
        <x:v>0</x:v>
      </x:c>
      <x:c r="E50" s="136" t="n">
        <x:f>IF(AND(C50=1,B50&lt;='参数输入'!$B$9),ROUND(MAX('车辆输入'!$N$8-ROUND('车辆输入'!$N$8/MAX('参数输入'!$B$9,1),2)*(B50-1),0),2),0)</x:f>
        <x:v>0</x:v>
      </x:c>
      <x:c r="F50" s="136" t="n">
        <x:f>ROUND(D50+E50,2)</x:f>
        <x:v>0</x:v>
      </x:c>
      <x:c r="G50" s="136" t="n">
        <x:f>IF(C50=0,0,ROUND(IF(B50='参数输入'!$B$8,D50,MIN(D50,ROUND('车辆输入'!$M$8/'参数输入'!$B$8,2))),2))</x:f>
        <x:v>0</x:v>
      </x:c>
      <x:c r="H50" s="136" t="n">
        <x:f>IF(OR(C50=0,'参数输入'!$B$9=0,B50&gt;'参数输入'!$B$9),0,ROUND(IF(B50='参数输入'!$B$9,E50,MIN(E50,ROUND('车辆输入'!$N$8/'参数输入'!$B$9,2))),2))</x:f>
        <x:v>0</x:v>
      </x:c>
      <x:c r="I50" s="136" t="n">
        <x:f>ROUND(G50+H50,2)</x:f>
        <x:v>0</x:v>
      </x:c>
      <x:c r="J50" s="137" t="n">
        <x:f>IF(C50=1,F50/SUMIFS($F$3:$F$122,$A$3:$A$122,A50,$C$3:$C$122,1),0)</x:f>
        <x:v>0</x:v>
      </x:c>
      <x:c r="K50" s="136" t="n">
        <x:f>IF(C50=1,ROUND('车辆输入'!$K$8+'车辆输入'!$L$8,2),0)</x:f>
        <x:v>0</x:v>
      </x:c>
      <x:c r="L50" s="136" t="n">
        <x:f>IF(C50=1,ROUND(('车辆输入'!$M$8+'车辆输入'!$N$8)*'参数输入'!$B$20,2),0)</x:f>
        <x:v>0</x:v>
      </x:c>
      <x:c r="M50" s="136" t="n">
        <x:f>IF(C50=0,0,ROUND(IF(B50='参数输入'!$B$8,K50-SUMIFS($M$3:$M$122,$A$3:$A$122,A50,$B$3:$B$122,"&lt;"&amp;B50),K50*J50),2))</x:f>
        <x:v>0</x:v>
      </x:c>
      <x:c r="N50" s="136" t="n">
        <x:f>IF(C50=0,0,ROUND(IF(B50='参数输入'!$B$8,L50-SUMIFS($N$3:$N$122,$A$3:$A$122,A50,$B$3:$B$122,"&lt;"&amp;B50),L50*J50),2))</x:f>
        <x:v>0</x:v>
      </x:c>
      <x:c r="O50" s="128" t="n">
        <x:v>0</x:v>
      </x:c>
      <x:c r="P50" s="136" t="n">
        <x:f>ROUND(I50+O50,2)</x:f>
        <x:v>0</x:v>
      </x:c>
      <x:c r="Q50" s="123" t="str">
        <x:f>IF(C50=0,"",IF(B50=1,'参数输入'!$B$10,EDATE('参数输入'!$B$24,B50-1)+1))</x:f>
      </x:c>
      <x:c r="R50" s="123" t="str">
        <x:f>IF(C50=0,"",EDATE('参数输入'!$B$24,B50))</x:f>
      </x:c>
    </x:row>
    <x:row r="51">
      <x:c r="A51" s="101" t="str">
        <x:v>V05</x:v>
      </x:c>
      <x:c r="B51" s="101" t="n">
        <x:v>1</x:v>
      </x:c>
      <x:c r="C51" s="101" t="n">
        <x:f>IF(AND(SUM('车辆输入'!$B$9:$F$9)&gt;0,B51&lt;='参数输入'!$B$8),1,0)</x:f>
        <x:v>0</x:v>
      </x:c>
      <x:c r="D51" s="136" t="n">
        <x:f>IF(C51=1,ROUND(MAX('车辆输入'!$M$9-ROUND('车辆输入'!$M$9/'参数输入'!$B$8,2)*(B51-1),0),2),0)</x:f>
        <x:v>0</x:v>
      </x:c>
      <x:c r="E51" s="136" t="n">
        <x:f>IF(AND(C51=1,B51&lt;='参数输入'!$B$9),ROUND(MAX('车辆输入'!$N$9-ROUND('车辆输入'!$N$9/MAX('参数输入'!$B$9,1),2)*(B51-1),0),2),0)</x:f>
        <x:v>0</x:v>
      </x:c>
      <x:c r="F51" s="136" t="n">
        <x:f>ROUND(D51+E51,2)</x:f>
        <x:v>0</x:v>
      </x:c>
      <x:c r="G51" s="136" t="n">
        <x:f>IF(C51=0,0,ROUND(IF(B51='参数输入'!$B$8,D51,MIN(D51,ROUND('车辆输入'!$M$9/'参数输入'!$B$8,2))),2))</x:f>
        <x:v>0</x:v>
      </x:c>
      <x:c r="H51" s="136" t="n">
        <x:f>IF(OR(C51=0,'参数输入'!$B$9=0,B51&gt;'参数输入'!$B$9),0,ROUND(IF(B51='参数输入'!$B$9,E51,MIN(E51,ROUND('车辆输入'!$N$9/'参数输入'!$B$9,2))),2))</x:f>
        <x:v>0</x:v>
      </x:c>
      <x:c r="I51" s="136" t="n">
        <x:f>ROUND(G51+H51,2)</x:f>
        <x:v>0</x:v>
      </x:c>
      <x:c r="J51" s="137" t="n">
        <x:f>IF(C51=1,F51/SUMIFS($F$3:$F$122,$A$3:$A$122,A51,$C$3:$C$122,1),0)</x:f>
        <x:v>0</x:v>
      </x:c>
      <x:c r="K51" s="136" t="n">
        <x:f>IF(C51=1,ROUND('车辆输入'!$K$9+'车辆输入'!$L$9,2),0)</x:f>
        <x:v>0</x:v>
      </x:c>
      <x:c r="L51" s="136" t="n">
        <x:f>IF(C51=1,ROUND(('车辆输入'!$M$9+'车辆输入'!$N$9)*'参数输入'!$B$20,2),0)</x:f>
        <x:v>0</x:v>
      </x:c>
      <x:c r="M51" s="136" t="n">
        <x:f>IF(C51=0,0,ROUND(IF(B51='参数输入'!$B$8,K51-SUMIFS($M$3:$M$122,$A$3:$A$122,A51,$B$3:$B$122,"&lt;"&amp;B51),K51*J51),2))</x:f>
        <x:v>0</x:v>
      </x:c>
      <x:c r="N51" s="136" t="n">
        <x:f>IF(C51=0,0,ROUND(IF(B51='参数输入'!$B$8,L51-SUMIFS($N$3:$N$122,$A$3:$A$122,A51,$B$3:$B$122,"&lt;"&amp;B51),L51*J51),2))</x:f>
        <x:v>0</x:v>
      </x:c>
      <x:c r="O51" s="128" t="n">
        <x:v>0</x:v>
      </x:c>
      <x:c r="P51" s="136" t="n">
        <x:f>ROUND(I51+O51,2)</x:f>
        <x:v>0</x:v>
      </x:c>
      <x:c r="Q51" s="123" t="str">
        <x:f>IF(C51=0,"",IF(B51=1,'参数输入'!$B$10,EDATE('参数输入'!$B$24,B51-1)+1))</x:f>
      </x:c>
      <x:c r="R51" s="123" t="str">
        <x:f>IF(C51=0,"",EDATE('参数输入'!$B$24,B51))</x:f>
      </x:c>
    </x:row>
    <x:row r="52">
      <x:c r="A52" s="101" t="str">
        <x:v>V05</x:v>
      </x:c>
      <x:c r="B52" s="101" t="n">
        <x:v>2</x:v>
      </x:c>
      <x:c r="C52" s="101" t="n">
        <x:f>IF(AND(SUM('车辆输入'!$B$9:$F$9)&gt;0,B52&lt;='参数输入'!$B$8),1,0)</x:f>
        <x:v>0</x:v>
      </x:c>
      <x:c r="D52" s="136" t="n">
        <x:f>IF(C52=1,ROUND(MAX('车辆输入'!$M$9-ROUND('车辆输入'!$M$9/'参数输入'!$B$8,2)*(B52-1),0),2),0)</x:f>
        <x:v>0</x:v>
      </x:c>
      <x:c r="E52" s="136" t="n">
        <x:f>IF(AND(C52=1,B52&lt;='参数输入'!$B$9),ROUND(MAX('车辆输入'!$N$9-ROUND('车辆输入'!$N$9/MAX('参数输入'!$B$9,1),2)*(B52-1),0),2),0)</x:f>
        <x:v>0</x:v>
      </x:c>
      <x:c r="F52" s="136" t="n">
        <x:f>ROUND(D52+E52,2)</x:f>
        <x:v>0</x:v>
      </x:c>
      <x:c r="G52" s="136" t="n">
        <x:f>IF(C52=0,0,ROUND(IF(B52='参数输入'!$B$8,D52,MIN(D52,ROUND('车辆输入'!$M$9/'参数输入'!$B$8,2))),2))</x:f>
        <x:v>0</x:v>
      </x:c>
      <x:c r="H52" s="136" t="n">
        <x:f>IF(OR(C52=0,'参数输入'!$B$9=0,B52&gt;'参数输入'!$B$9),0,ROUND(IF(B52='参数输入'!$B$9,E52,MIN(E52,ROUND('车辆输入'!$N$9/'参数输入'!$B$9,2))),2))</x:f>
        <x:v>0</x:v>
      </x:c>
      <x:c r="I52" s="136" t="n">
        <x:f>ROUND(G52+H52,2)</x:f>
        <x:v>0</x:v>
      </x:c>
      <x:c r="J52" s="137" t="n">
        <x:f>IF(C52=1,F52/SUMIFS($F$3:$F$122,$A$3:$A$122,A52,$C$3:$C$122,1),0)</x:f>
        <x:v>0</x:v>
      </x:c>
      <x:c r="K52" s="136" t="n">
        <x:f>IF(C52=1,ROUND('车辆输入'!$K$9+'车辆输入'!$L$9,2),0)</x:f>
        <x:v>0</x:v>
      </x:c>
      <x:c r="L52" s="136" t="n">
        <x:f>IF(C52=1,ROUND(('车辆输入'!$M$9+'车辆输入'!$N$9)*'参数输入'!$B$20,2),0)</x:f>
        <x:v>0</x:v>
      </x:c>
      <x:c r="M52" s="136" t="n">
        <x:f>IF(C52=0,0,ROUND(IF(B52='参数输入'!$B$8,K52-SUMIFS($M$3:$M$122,$A$3:$A$122,A52,$B$3:$B$122,"&lt;"&amp;B52),K52*J52),2))</x:f>
        <x:v>0</x:v>
      </x:c>
      <x:c r="N52" s="136" t="n">
        <x:f>IF(C52=0,0,ROUND(IF(B52='参数输入'!$B$8,L52-SUMIFS($N$3:$N$122,$A$3:$A$122,A52,$B$3:$B$122,"&lt;"&amp;B52),L52*J52),2))</x:f>
        <x:v>0</x:v>
      </x:c>
      <x:c r="O52" s="128" t="n">
        <x:v>0</x:v>
      </x:c>
      <x:c r="P52" s="136" t="n">
        <x:f>ROUND(I52+O52,2)</x:f>
        <x:v>0</x:v>
      </x:c>
      <x:c r="Q52" s="123" t="str">
        <x:f>IF(C52=0,"",IF(B52=1,'参数输入'!$B$10,EDATE('参数输入'!$B$24,B52-1)+1))</x:f>
      </x:c>
      <x:c r="R52" s="123" t="str">
        <x:f>IF(C52=0,"",EDATE('参数输入'!$B$24,B52))</x:f>
      </x:c>
    </x:row>
    <x:row r="53">
      <x:c r="A53" s="101" t="str">
        <x:v>V05</x:v>
      </x:c>
      <x:c r="B53" s="101" t="n">
        <x:v>3</x:v>
      </x:c>
      <x:c r="C53" s="101" t="n">
        <x:f>IF(AND(SUM('车辆输入'!$B$9:$F$9)&gt;0,B53&lt;='参数输入'!$B$8),1,0)</x:f>
        <x:v>0</x:v>
      </x:c>
      <x:c r="D53" s="136" t="n">
        <x:f>IF(C53=1,ROUND(MAX('车辆输入'!$M$9-ROUND('车辆输入'!$M$9/'参数输入'!$B$8,2)*(B53-1),0),2),0)</x:f>
        <x:v>0</x:v>
      </x:c>
      <x:c r="E53" s="136" t="n">
        <x:f>IF(AND(C53=1,B53&lt;='参数输入'!$B$9),ROUND(MAX('车辆输入'!$N$9-ROUND('车辆输入'!$N$9/MAX('参数输入'!$B$9,1),2)*(B53-1),0),2),0)</x:f>
        <x:v>0</x:v>
      </x:c>
      <x:c r="F53" s="136" t="n">
        <x:f>ROUND(D53+E53,2)</x:f>
        <x:v>0</x:v>
      </x:c>
      <x:c r="G53" s="136" t="n">
        <x:f>IF(C53=0,0,ROUND(IF(B53='参数输入'!$B$8,D53,MIN(D53,ROUND('车辆输入'!$M$9/'参数输入'!$B$8,2))),2))</x:f>
        <x:v>0</x:v>
      </x:c>
      <x:c r="H53" s="136" t="n">
        <x:f>IF(OR(C53=0,'参数输入'!$B$9=0,B53&gt;'参数输入'!$B$9),0,ROUND(IF(B53='参数输入'!$B$9,E53,MIN(E53,ROUND('车辆输入'!$N$9/'参数输入'!$B$9,2))),2))</x:f>
        <x:v>0</x:v>
      </x:c>
      <x:c r="I53" s="136" t="n">
        <x:f>ROUND(G53+H53,2)</x:f>
        <x:v>0</x:v>
      </x:c>
      <x:c r="J53" s="137" t="n">
        <x:f>IF(C53=1,F53/SUMIFS($F$3:$F$122,$A$3:$A$122,A53,$C$3:$C$122,1),0)</x:f>
        <x:v>0</x:v>
      </x:c>
      <x:c r="K53" s="136" t="n">
        <x:f>IF(C53=1,ROUND('车辆输入'!$K$9+'车辆输入'!$L$9,2),0)</x:f>
        <x:v>0</x:v>
      </x:c>
      <x:c r="L53" s="136" t="n">
        <x:f>IF(C53=1,ROUND(('车辆输入'!$M$9+'车辆输入'!$N$9)*'参数输入'!$B$20,2),0)</x:f>
        <x:v>0</x:v>
      </x:c>
      <x:c r="M53" s="136" t="n">
        <x:f>IF(C53=0,0,ROUND(IF(B53='参数输入'!$B$8,K53-SUMIFS($M$3:$M$122,$A$3:$A$122,A53,$B$3:$B$122,"&lt;"&amp;B53),K53*J53),2))</x:f>
        <x:v>0</x:v>
      </x:c>
      <x:c r="N53" s="136" t="n">
        <x:f>IF(C53=0,0,ROUND(IF(B53='参数输入'!$B$8,L53-SUMIFS($N$3:$N$122,$A$3:$A$122,A53,$B$3:$B$122,"&lt;"&amp;B53),L53*J53),2))</x:f>
        <x:v>0</x:v>
      </x:c>
      <x:c r="O53" s="128" t="n">
        <x:v>0</x:v>
      </x:c>
      <x:c r="P53" s="136" t="n">
        <x:f>ROUND(I53+O53,2)</x:f>
        <x:v>0</x:v>
      </x:c>
      <x:c r="Q53" s="123" t="str">
        <x:f>IF(C53=0,"",IF(B53=1,'参数输入'!$B$10,EDATE('参数输入'!$B$24,B53-1)+1))</x:f>
      </x:c>
      <x:c r="R53" s="123" t="str">
        <x:f>IF(C53=0,"",EDATE('参数输入'!$B$24,B53))</x:f>
      </x:c>
    </x:row>
    <x:row r="54">
      <x:c r="A54" s="101" t="str">
        <x:v>V05</x:v>
      </x:c>
      <x:c r="B54" s="101" t="n">
        <x:v>4</x:v>
      </x:c>
      <x:c r="C54" s="101" t="n">
        <x:f>IF(AND(SUM('车辆输入'!$B$9:$F$9)&gt;0,B54&lt;='参数输入'!$B$8),1,0)</x:f>
        <x:v>0</x:v>
      </x:c>
      <x:c r="D54" s="136" t="n">
        <x:f>IF(C54=1,ROUND(MAX('车辆输入'!$M$9-ROUND('车辆输入'!$M$9/'参数输入'!$B$8,2)*(B54-1),0),2),0)</x:f>
        <x:v>0</x:v>
      </x:c>
      <x:c r="E54" s="136" t="n">
        <x:f>IF(AND(C54=1,B54&lt;='参数输入'!$B$9),ROUND(MAX('车辆输入'!$N$9-ROUND('车辆输入'!$N$9/MAX('参数输入'!$B$9,1),2)*(B54-1),0),2),0)</x:f>
        <x:v>0</x:v>
      </x:c>
      <x:c r="F54" s="136" t="n">
        <x:f>ROUND(D54+E54,2)</x:f>
        <x:v>0</x:v>
      </x:c>
      <x:c r="G54" s="136" t="n">
        <x:f>IF(C54=0,0,ROUND(IF(B54='参数输入'!$B$8,D54,MIN(D54,ROUND('车辆输入'!$M$9/'参数输入'!$B$8,2))),2))</x:f>
        <x:v>0</x:v>
      </x:c>
      <x:c r="H54" s="136" t="n">
        <x:f>IF(OR(C54=0,'参数输入'!$B$9=0,B54&gt;'参数输入'!$B$9),0,ROUND(IF(B54='参数输入'!$B$9,E54,MIN(E54,ROUND('车辆输入'!$N$9/'参数输入'!$B$9,2))),2))</x:f>
        <x:v>0</x:v>
      </x:c>
      <x:c r="I54" s="136" t="n">
        <x:f>ROUND(G54+H54,2)</x:f>
        <x:v>0</x:v>
      </x:c>
      <x:c r="J54" s="137" t="n">
        <x:f>IF(C54=1,F54/SUMIFS($F$3:$F$122,$A$3:$A$122,A54,$C$3:$C$122,1),0)</x:f>
        <x:v>0</x:v>
      </x:c>
      <x:c r="K54" s="136" t="n">
        <x:f>IF(C54=1,ROUND('车辆输入'!$K$9+'车辆输入'!$L$9,2),0)</x:f>
        <x:v>0</x:v>
      </x:c>
      <x:c r="L54" s="136" t="n">
        <x:f>IF(C54=1,ROUND(('车辆输入'!$M$9+'车辆输入'!$N$9)*'参数输入'!$B$20,2),0)</x:f>
        <x:v>0</x:v>
      </x:c>
      <x:c r="M54" s="136" t="n">
        <x:f>IF(C54=0,0,ROUND(IF(B54='参数输入'!$B$8,K54-SUMIFS($M$3:$M$122,$A$3:$A$122,A54,$B$3:$B$122,"&lt;"&amp;B54),K54*J54),2))</x:f>
        <x:v>0</x:v>
      </x:c>
      <x:c r="N54" s="136" t="n">
        <x:f>IF(C54=0,0,ROUND(IF(B54='参数输入'!$B$8,L54-SUMIFS($N$3:$N$122,$A$3:$A$122,A54,$B$3:$B$122,"&lt;"&amp;B54),L54*J54),2))</x:f>
        <x:v>0</x:v>
      </x:c>
      <x:c r="O54" s="128" t="n">
        <x:v>0</x:v>
      </x:c>
      <x:c r="P54" s="136" t="n">
        <x:f>ROUND(I54+O54,2)</x:f>
        <x:v>0</x:v>
      </x:c>
      <x:c r="Q54" s="123" t="str">
        <x:f>IF(C54=0,"",IF(B54=1,'参数输入'!$B$10,EDATE('参数输入'!$B$24,B54-1)+1))</x:f>
      </x:c>
      <x:c r="R54" s="123" t="str">
        <x:f>IF(C54=0,"",EDATE('参数输入'!$B$24,B54))</x:f>
      </x:c>
    </x:row>
    <x:row r="55">
      <x:c r="A55" s="101" t="str">
        <x:v>V05</x:v>
      </x:c>
      <x:c r="B55" s="101" t="n">
        <x:v>5</x:v>
      </x:c>
      <x:c r="C55" s="101" t="n">
        <x:f>IF(AND(SUM('车辆输入'!$B$9:$F$9)&gt;0,B55&lt;='参数输入'!$B$8),1,0)</x:f>
        <x:v>0</x:v>
      </x:c>
      <x:c r="D55" s="136" t="n">
        <x:f>IF(C55=1,ROUND(MAX('车辆输入'!$M$9-ROUND('车辆输入'!$M$9/'参数输入'!$B$8,2)*(B55-1),0),2),0)</x:f>
        <x:v>0</x:v>
      </x:c>
      <x:c r="E55" s="136" t="n">
        <x:f>IF(AND(C55=1,B55&lt;='参数输入'!$B$9),ROUND(MAX('车辆输入'!$N$9-ROUND('车辆输入'!$N$9/MAX('参数输入'!$B$9,1),2)*(B55-1),0),2),0)</x:f>
        <x:v>0</x:v>
      </x:c>
      <x:c r="F55" s="136" t="n">
        <x:f>ROUND(D55+E55,2)</x:f>
        <x:v>0</x:v>
      </x:c>
      <x:c r="G55" s="136" t="n">
        <x:f>IF(C55=0,0,ROUND(IF(B55='参数输入'!$B$8,D55,MIN(D55,ROUND('车辆输入'!$M$9/'参数输入'!$B$8,2))),2))</x:f>
        <x:v>0</x:v>
      </x:c>
      <x:c r="H55" s="136" t="n">
        <x:f>IF(OR(C55=0,'参数输入'!$B$9=0,B55&gt;'参数输入'!$B$9),0,ROUND(IF(B55='参数输入'!$B$9,E55,MIN(E55,ROUND('车辆输入'!$N$9/'参数输入'!$B$9,2))),2))</x:f>
        <x:v>0</x:v>
      </x:c>
      <x:c r="I55" s="136" t="n">
        <x:f>ROUND(G55+H55,2)</x:f>
        <x:v>0</x:v>
      </x:c>
      <x:c r="J55" s="137" t="n">
        <x:f>IF(C55=1,F55/SUMIFS($F$3:$F$122,$A$3:$A$122,A55,$C$3:$C$122,1),0)</x:f>
        <x:v>0</x:v>
      </x:c>
      <x:c r="K55" s="136" t="n">
        <x:f>IF(C55=1,ROUND('车辆输入'!$K$9+'车辆输入'!$L$9,2),0)</x:f>
        <x:v>0</x:v>
      </x:c>
      <x:c r="L55" s="136" t="n">
        <x:f>IF(C55=1,ROUND(('车辆输入'!$M$9+'车辆输入'!$N$9)*'参数输入'!$B$20,2),0)</x:f>
        <x:v>0</x:v>
      </x:c>
      <x:c r="M55" s="136" t="n">
        <x:f>IF(C55=0,0,ROUND(IF(B55='参数输入'!$B$8,K55-SUMIFS($M$3:$M$122,$A$3:$A$122,A55,$B$3:$B$122,"&lt;"&amp;B55),K55*J55),2))</x:f>
        <x:v>0</x:v>
      </x:c>
      <x:c r="N55" s="136" t="n">
        <x:f>IF(C55=0,0,ROUND(IF(B55='参数输入'!$B$8,L55-SUMIFS($N$3:$N$122,$A$3:$A$122,A55,$B$3:$B$122,"&lt;"&amp;B55),L55*J55),2))</x:f>
        <x:v>0</x:v>
      </x:c>
      <x:c r="O55" s="128" t="n">
        <x:v>0</x:v>
      </x:c>
      <x:c r="P55" s="136" t="n">
        <x:f>ROUND(I55+O55,2)</x:f>
        <x:v>0</x:v>
      </x:c>
      <x:c r="Q55" s="123" t="str">
        <x:f>IF(C55=0,"",IF(B55=1,'参数输入'!$B$10,EDATE('参数输入'!$B$24,B55-1)+1))</x:f>
      </x:c>
      <x:c r="R55" s="123" t="str">
        <x:f>IF(C55=0,"",EDATE('参数输入'!$B$24,B55))</x:f>
      </x:c>
    </x:row>
    <x:row r="56">
      <x:c r="A56" s="101" t="str">
        <x:v>V05</x:v>
      </x:c>
      <x:c r="B56" s="101" t="n">
        <x:v>6</x:v>
      </x:c>
      <x:c r="C56" s="101" t="n">
        <x:f>IF(AND(SUM('车辆输入'!$B$9:$F$9)&gt;0,B56&lt;='参数输入'!$B$8),1,0)</x:f>
        <x:v>0</x:v>
      </x:c>
      <x:c r="D56" s="136" t="n">
        <x:f>IF(C56=1,ROUND(MAX('车辆输入'!$M$9-ROUND('车辆输入'!$M$9/'参数输入'!$B$8,2)*(B56-1),0),2),0)</x:f>
        <x:v>0</x:v>
      </x:c>
      <x:c r="E56" s="136" t="n">
        <x:f>IF(AND(C56=1,B56&lt;='参数输入'!$B$9),ROUND(MAX('车辆输入'!$N$9-ROUND('车辆输入'!$N$9/MAX('参数输入'!$B$9,1),2)*(B56-1),0),2),0)</x:f>
        <x:v>0</x:v>
      </x:c>
      <x:c r="F56" s="136" t="n">
        <x:f>ROUND(D56+E56,2)</x:f>
        <x:v>0</x:v>
      </x:c>
      <x:c r="G56" s="136" t="n">
        <x:f>IF(C56=0,0,ROUND(IF(B56='参数输入'!$B$8,D56,MIN(D56,ROUND('车辆输入'!$M$9/'参数输入'!$B$8,2))),2))</x:f>
        <x:v>0</x:v>
      </x:c>
      <x:c r="H56" s="136" t="n">
        <x:f>IF(OR(C56=0,'参数输入'!$B$9=0,B56&gt;'参数输入'!$B$9),0,ROUND(IF(B56='参数输入'!$B$9,E56,MIN(E56,ROUND('车辆输入'!$N$9/'参数输入'!$B$9,2))),2))</x:f>
        <x:v>0</x:v>
      </x:c>
      <x:c r="I56" s="136" t="n">
        <x:f>ROUND(G56+H56,2)</x:f>
        <x:v>0</x:v>
      </x:c>
      <x:c r="J56" s="137" t="n">
        <x:f>IF(C56=1,F56/SUMIFS($F$3:$F$122,$A$3:$A$122,A56,$C$3:$C$122,1),0)</x:f>
        <x:v>0</x:v>
      </x:c>
      <x:c r="K56" s="136" t="n">
        <x:f>IF(C56=1,ROUND('车辆输入'!$K$9+'车辆输入'!$L$9,2),0)</x:f>
        <x:v>0</x:v>
      </x:c>
      <x:c r="L56" s="136" t="n">
        <x:f>IF(C56=1,ROUND(('车辆输入'!$M$9+'车辆输入'!$N$9)*'参数输入'!$B$20,2),0)</x:f>
        <x:v>0</x:v>
      </x:c>
      <x:c r="M56" s="136" t="n">
        <x:f>IF(C56=0,0,ROUND(IF(B56='参数输入'!$B$8,K56-SUMIFS($M$3:$M$122,$A$3:$A$122,A56,$B$3:$B$122,"&lt;"&amp;B56),K56*J56),2))</x:f>
        <x:v>0</x:v>
      </x:c>
      <x:c r="N56" s="136" t="n">
        <x:f>IF(C56=0,0,ROUND(IF(B56='参数输入'!$B$8,L56-SUMIFS($N$3:$N$122,$A$3:$A$122,A56,$B$3:$B$122,"&lt;"&amp;B56),L56*J56),2))</x:f>
        <x:v>0</x:v>
      </x:c>
      <x:c r="O56" s="128" t="n">
        <x:v>0</x:v>
      </x:c>
      <x:c r="P56" s="136" t="n">
        <x:f>ROUND(I56+O56,2)</x:f>
        <x:v>0</x:v>
      </x:c>
      <x:c r="Q56" s="123" t="str">
        <x:f>IF(C56=0,"",IF(B56=1,'参数输入'!$B$10,EDATE('参数输入'!$B$24,B56-1)+1))</x:f>
      </x:c>
      <x:c r="R56" s="123" t="str">
        <x:f>IF(C56=0,"",EDATE('参数输入'!$B$24,B56))</x:f>
      </x:c>
    </x:row>
    <x:row r="57">
      <x:c r="A57" s="101" t="str">
        <x:v>V05</x:v>
      </x:c>
      <x:c r="B57" s="101" t="n">
        <x:v>7</x:v>
      </x:c>
      <x:c r="C57" s="101" t="n">
        <x:f>IF(AND(SUM('车辆输入'!$B$9:$F$9)&gt;0,B57&lt;='参数输入'!$B$8),1,0)</x:f>
        <x:v>0</x:v>
      </x:c>
      <x:c r="D57" s="136" t="n">
        <x:f>IF(C57=1,ROUND(MAX('车辆输入'!$M$9-ROUND('车辆输入'!$M$9/'参数输入'!$B$8,2)*(B57-1),0),2),0)</x:f>
        <x:v>0</x:v>
      </x:c>
      <x:c r="E57" s="136" t="n">
        <x:f>IF(AND(C57=1,B57&lt;='参数输入'!$B$9),ROUND(MAX('车辆输入'!$N$9-ROUND('车辆输入'!$N$9/MAX('参数输入'!$B$9,1),2)*(B57-1),0),2),0)</x:f>
        <x:v>0</x:v>
      </x:c>
      <x:c r="F57" s="136" t="n">
        <x:f>ROUND(D57+E57,2)</x:f>
        <x:v>0</x:v>
      </x:c>
      <x:c r="G57" s="136" t="n">
        <x:f>IF(C57=0,0,ROUND(IF(B57='参数输入'!$B$8,D57,MIN(D57,ROUND('车辆输入'!$M$9/'参数输入'!$B$8,2))),2))</x:f>
        <x:v>0</x:v>
      </x:c>
      <x:c r="H57" s="136" t="n">
        <x:f>IF(OR(C57=0,'参数输入'!$B$9=0,B57&gt;'参数输入'!$B$9),0,ROUND(IF(B57='参数输入'!$B$9,E57,MIN(E57,ROUND('车辆输入'!$N$9/'参数输入'!$B$9,2))),2))</x:f>
        <x:v>0</x:v>
      </x:c>
      <x:c r="I57" s="136" t="n">
        <x:f>ROUND(G57+H57,2)</x:f>
        <x:v>0</x:v>
      </x:c>
      <x:c r="J57" s="137" t="n">
        <x:f>IF(C57=1,F57/SUMIFS($F$3:$F$122,$A$3:$A$122,A57,$C$3:$C$122,1),0)</x:f>
        <x:v>0</x:v>
      </x:c>
      <x:c r="K57" s="136" t="n">
        <x:f>IF(C57=1,ROUND('车辆输入'!$K$9+'车辆输入'!$L$9,2),0)</x:f>
        <x:v>0</x:v>
      </x:c>
      <x:c r="L57" s="136" t="n">
        <x:f>IF(C57=1,ROUND(('车辆输入'!$M$9+'车辆输入'!$N$9)*'参数输入'!$B$20,2),0)</x:f>
        <x:v>0</x:v>
      </x:c>
      <x:c r="M57" s="136" t="n">
        <x:f>IF(C57=0,0,ROUND(IF(B57='参数输入'!$B$8,K57-SUMIFS($M$3:$M$122,$A$3:$A$122,A57,$B$3:$B$122,"&lt;"&amp;B57),K57*J57),2))</x:f>
        <x:v>0</x:v>
      </x:c>
      <x:c r="N57" s="136" t="n">
        <x:f>IF(C57=0,0,ROUND(IF(B57='参数输入'!$B$8,L57-SUMIFS($N$3:$N$122,$A$3:$A$122,A57,$B$3:$B$122,"&lt;"&amp;B57),L57*J57),2))</x:f>
        <x:v>0</x:v>
      </x:c>
      <x:c r="O57" s="128" t="n">
        <x:v>0</x:v>
      </x:c>
      <x:c r="P57" s="136" t="n">
        <x:f>ROUND(I57+O57,2)</x:f>
        <x:v>0</x:v>
      </x:c>
      <x:c r="Q57" s="123" t="str">
        <x:f>IF(C57=0,"",IF(B57=1,'参数输入'!$B$10,EDATE('参数输入'!$B$24,B57-1)+1))</x:f>
      </x:c>
      <x:c r="R57" s="123" t="str">
        <x:f>IF(C57=0,"",EDATE('参数输入'!$B$24,B57))</x:f>
      </x:c>
    </x:row>
    <x:row r="58">
      <x:c r="A58" s="101" t="str">
        <x:v>V05</x:v>
      </x:c>
      <x:c r="B58" s="101" t="n">
        <x:v>8</x:v>
      </x:c>
      <x:c r="C58" s="101" t="n">
        <x:f>IF(AND(SUM('车辆输入'!$B$9:$F$9)&gt;0,B58&lt;='参数输入'!$B$8),1,0)</x:f>
        <x:v>0</x:v>
      </x:c>
      <x:c r="D58" s="136" t="n">
        <x:f>IF(C58=1,ROUND(MAX('车辆输入'!$M$9-ROUND('车辆输入'!$M$9/'参数输入'!$B$8,2)*(B58-1),0),2),0)</x:f>
        <x:v>0</x:v>
      </x:c>
      <x:c r="E58" s="136" t="n">
        <x:f>IF(AND(C58=1,B58&lt;='参数输入'!$B$9),ROUND(MAX('车辆输入'!$N$9-ROUND('车辆输入'!$N$9/MAX('参数输入'!$B$9,1),2)*(B58-1),0),2),0)</x:f>
        <x:v>0</x:v>
      </x:c>
      <x:c r="F58" s="136" t="n">
        <x:f>ROUND(D58+E58,2)</x:f>
        <x:v>0</x:v>
      </x:c>
      <x:c r="G58" s="136" t="n">
        <x:f>IF(C58=0,0,ROUND(IF(B58='参数输入'!$B$8,D58,MIN(D58,ROUND('车辆输入'!$M$9/'参数输入'!$B$8,2))),2))</x:f>
        <x:v>0</x:v>
      </x:c>
      <x:c r="H58" s="136" t="n">
        <x:f>IF(OR(C58=0,'参数输入'!$B$9=0,B58&gt;'参数输入'!$B$9),0,ROUND(IF(B58='参数输入'!$B$9,E58,MIN(E58,ROUND('车辆输入'!$N$9/'参数输入'!$B$9,2))),2))</x:f>
        <x:v>0</x:v>
      </x:c>
      <x:c r="I58" s="136" t="n">
        <x:f>ROUND(G58+H58,2)</x:f>
        <x:v>0</x:v>
      </x:c>
      <x:c r="J58" s="137" t="n">
        <x:f>IF(C58=1,F58/SUMIFS($F$3:$F$122,$A$3:$A$122,A58,$C$3:$C$122,1),0)</x:f>
        <x:v>0</x:v>
      </x:c>
      <x:c r="K58" s="136" t="n">
        <x:f>IF(C58=1,ROUND('车辆输入'!$K$9+'车辆输入'!$L$9,2),0)</x:f>
        <x:v>0</x:v>
      </x:c>
      <x:c r="L58" s="136" t="n">
        <x:f>IF(C58=1,ROUND(('车辆输入'!$M$9+'车辆输入'!$N$9)*'参数输入'!$B$20,2),0)</x:f>
        <x:v>0</x:v>
      </x:c>
      <x:c r="M58" s="136" t="n">
        <x:f>IF(C58=0,0,ROUND(IF(B58='参数输入'!$B$8,K58-SUMIFS($M$3:$M$122,$A$3:$A$122,A58,$B$3:$B$122,"&lt;"&amp;B58),K58*J58),2))</x:f>
        <x:v>0</x:v>
      </x:c>
      <x:c r="N58" s="136" t="n">
        <x:f>IF(C58=0,0,ROUND(IF(B58='参数输入'!$B$8,L58-SUMIFS($N$3:$N$122,$A$3:$A$122,A58,$B$3:$B$122,"&lt;"&amp;B58),L58*J58),2))</x:f>
        <x:v>0</x:v>
      </x:c>
      <x:c r="O58" s="128" t="n">
        <x:v>0</x:v>
      </x:c>
      <x:c r="P58" s="136" t="n">
        <x:f>ROUND(I58+O58,2)</x:f>
        <x:v>0</x:v>
      </x:c>
      <x:c r="Q58" s="123" t="str">
        <x:f>IF(C58=0,"",IF(B58=1,'参数输入'!$B$10,EDATE('参数输入'!$B$24,B58-1)+1))</x:f>
      </x:c>
      <x:c r="R58" s="123" t="str">
        <x:f>IF(C58=0,"",EDATE('参数输入'!$B$24,B58))</x:f>
      </x:c>
    </x:row>
    <x:row r="59">
      <x:c r="A59" s="101" t="str">
        <x:v>V05</x:v>
      </x:c>
      <x:c r="B59" s="101" t="n">
        <x:v>9</x:v>
      </x:c>
      <x:c r="C59" s="101" t="n">
        <x:f>IF(AND(SUM('车辆输入'!$B$9:$F$9)&gt;0,B59&lt;='参数输入'!$B$8),1,0)</x:f>
        <x:v>0</x:v>
      </x:c>
      <x:c r="D59" s="136" t="n">
        <x:f>IF(C59=1,ROUND(MAX('车辆输入'!$M$9-ROUND('车辆输入'!$M$9/'参数输入'!$B$8,2)*(B59-1),0),2),0)</x:f>
        <x:v>0</x:v>
      </x:c>
      <x:c r="E59" s="136" t="n">
        <x:f>IF(AND(C59=1,B59&lt;='参数输入'!$B$9),ROUND(MAX('车辆输入'!$N$9-ROUND('车辆输入'!$N$9/MAX('参数输入'!$B$9,1),2)*(B59-1),0),2),0)</x:f>
        <x:v>0</x:v>
      </x:c>
      <x:c r="F59" s="136" t="n">
        <x:f>ROUND(D59+E59,2)</x:f>
        <x:v>0</x:v>
      </x:c>
      <x:c r="G59" s="136" t="n">
        <x:f>IF(C59=0,0,ROUND(IF(B59='参数输入'!$B$8,D59,MIN(D59,ROUND('车辆输入'!$M$9/'参数输入'!$B$8,2))),2))</x:f>
        <x:v>0</x:v>
      </x:c>
      <x:c r="H59" s="136" t="n">
        <x:f>IF(OR(C59=0,'参数输入'!$B$9=0,B59&gt;'参数输入'!$B$9),0,ROUND(IF(B59='参数输入'!$B$9,E59,MIN(E59,ROUND('车辆输入'!$N$9/'参数输入'!$B$9,2))),2))</x:f>
        <x:v>0</x:v>
      </x:c>
      <x:c r="I59" s="136" t="n">
        <x:f>ROUND(G59+H59,2)</x:f>
        <x:v>0</x:v>
      </x:c>
      <x:c r="J59" s="137" t="n">
        <x:f>IF(C59=1,F59/SUMIFS($F$3:$F$122,$A$3:$A$122,A59,$C$3:$C$122,1),0)</x:f>
        <x:v>0</x:v>
      </x:c>
      <x:c r="K59" s="136" t="n">
        <x:f>IF(C59=1,ROUND('车辆输入'!$K$9+'车辆输入'!$L$9,2),0)</x:f>
        <x:v>0</x:v>
      </x:c>
      <x:c r="L59" s="136" t="n">
        <x:f>IF(C59=1,ROUND(('车辆输入'!$M$9+'车辆输入'!$N$9)*'参数输入'!$B$20,2),0)</x:f>
        <x:v>0</x:v>
      </x:c>
      <x:c r="M59" s="136" t="n">
        <x:f>IF(C59=0,0,ROUND(IF(B59='参数输入'!$B$8,K59-SUMIFS($M$3:$M$122,$A$3:$A$122,A59,$B$3:$B$122,"&lt;"&amp;B59),K59*J59),2))</x:f>
        <x:v>0</x:v>
      </x:c>
      <x:c r="N59" s="136" t="n">
        <x:f>IF(C59=0,0,ROUND(IF(B59='参数输入'!$B$8,L59-SUMIFS($N$3:$N$122,$A$3:$A$122,A59,$B$3:$B$122,"&lt;"&amp;B59),L59*J59),2))</x:f>
        <x:v>0</x:v>
      </x:c>
      <x:c r="O59" s="128" t="n">
        <x:v>0</x:v>
      </x:c>
      <x:c r="P59" s="136" t="n">
        <x:f>ROUND(I59+O59,2)</x:f>
        <x:v>0</x:v>
      </x:c>
      <x:c r="Q59" s="123" t="str">
        <x:f>IF(C59=0,"",IF(B59=1,'参数输入'!$B$10,EDATE('参数输入'!$B$24,B59-1)+1))</x:f>
      </x:c>
      <x:c r="R59" s="123" t="str">
        <x:f>IF(C59=0,"",EDATE('参数输入'!$B$24,B59))</x:f>
      </x:c>
    </x:row>
    <x:row r="60">
      <x:c r="A60" s="101" t="str">
        <x:v>V05</x:v>
      </x:c>
      <x:c r="B60" s="101" t="n">
        <x:v>10</x:v>
      </x:c>
      <x:c r="C60" s="101" t="n">
        <x:f>IF(AND(SUM('车辆输入'!$B$9:$F$9)&gt;0,B60&lt;='参数输入'!$B$8),1,0)</x:f>
        <x:v>0</x:v>
      </x:c>
      <x:c r="D60" s="136" t="n">
        <x:f>IF(C60=1,ROUND(MAX('车辆输入'!$M$9-ROUND('车辆输入'!$M$9/'参数输入'!$B$8,2)*(B60-1),0),2),0)</x:f>
        <x:v>0</x:v>
      </x:c>
      <x:c r="E60" s="136" t="n">
        <x:f>IF(AND(C60=1,B60&lt;='参数输入'!$B$9),ROUND(MAX('车辆输入'!$N$9-ROUND('车辆输入'!$N$9/MAX('参数输入'!$B$9,1),2)*(B60-1),0),2),0)</x:f>
        <x:v>0</x:v>
      </x:c>
      <x:c r="F60" s="136" t="n">
        <x:f>ROUND(D60+E60,2)</x:f>
        <x:v>0</x:v>
      </x:c>
      <x:c r="G60" s="136" t="n">
        <x:f>IF(C60=0,0,ROUND(IF(B60='参数输入'!$B$8,D60,MIN(D60,ROUND('车辆输入'!$M$9/'参数输入'!$B$8,2))),2))</x:f>
        <x:v>0</x:v>
      </x:c>
      <x:c r="H60" s="136" t="n">
        <x:f>IF(OR(C60=0,'参数输入'!$B$9=0,B60&gt;'参数输入'!$B$9),0,ROUND(IF(B60='参数输入'!$B$9,E60,MIN(E60,ROUND('车辆输入'!$N$9/'参数输入'!$B$9,2))),2))</x:f>
        <x:v>0</x:v>
      </x:c>
      <x:c r="I60" s="136" t="n">
        <x:f>ROUND(G60+H60,2)</x:f>
        <x:v>0</x:v>
      </x:c>
      <x:c r="J60" s="137" t="n">
        <x:f>IF(C60=1,F60/SUMIFS($F$3:$F$122,$A$3:$A$122,A60,$C$3:$C$122,1),0)</x:f>
        <x:v>0</x:v>
      </x:c>
      <x:c r="K60" s="136" t="n">
        <x:f>IF(C60=1,ROUND('车辆输入'!$K$9+'车辆输入'!$L$9,2),0)</x:f>
        <x:v>0</x:v>
      </x:c>
      <x:c r="L60" s="136" t="n">
        <x:f>IF(C60=1,ROUND(('车辆输入'!$M$9+'车辆输入'!$N$9)*'参数输入'!$B$20,2),0)</x:f>
        <x:v>0</x:v>
      </x:c>
      <x:c r="M60" s="136" t="n">
        <x:f>IF(C60=0,0,ROUND(IF(B60='参数输入'!$B$8,K60-SUMIFS($M$3:$M$122,$A$3:$A$122,A60,$B$3:$B$122,"&lt;"&amp;B60),K60*J60),2))</x:f>
        <x:v>0</x:v>
      </x:c>
      <x:c r="N60" s="136" t="n">
        <x:f>IF(C60=0,0,ROUND(IF(B60='参数输入'!$B$8,L60-SUMIFS($N$3:$N$122,$A$3:$A$122,A60,$B$3:$B$122,"&lt;"&amp;B60),L60*J60),2))</x:f>
        <x:v>0</x:v>
      </x:c>
      <x:c r="O60" s="128" t="n">
        <x:v>0</x:v>
      </x:c>
      <x:c r="P60" s="136" t="n">
        <x:f>ROUND(I60+O60,2)</x:f>
        <x:v>0</x:v>
      </x:c>
      <x:c r="Q60" s="123" t="str">
        <x:f>IF(C60=0,"",IF(B60=1,'参数输入'!$B$10,EDATE('参数输入'!$B$24,B60-1)+1))</x:f>
      </x:c>
      <x:c r="R60" s="123" t="str">
        <x:f>IF(C60=0,"",EDATE('参数输入'!$B$24,B60))</x:f>
      </x:c>
    </x:row>
    <x:row r="61">
      <x:c r="A61" s="101" t="str">
        <x:v>V05</x:v>
      </x:c>
      <x:c r="B61" s="101" t="n">
        <x:v>11</x:v>
      </x:c>
      <x:c r="C61" s="101" t="n">
        <x:f>IF(AND(SUM('车辆输入'!$B$9:$F$9)&gt;0,B61&lt;='参数输入'!$B$8),1,0)</x:f>
        <x:v>0</x:v>
      </x:c>
      <x:c r="D61" s="136" t="n">
        <x:f>IF(C61=1,ROUND(MAX('车辆输入'!$M$9-ROUND('车辆输入'!$M$9/'参数输入'!$B$8,2)*(B61-1),0),2),0)</x:f>
        <x:v>0</x:v>
      </x:c>
      <x:c r="E61" s="136" t="n">
        <x:f>IF(AND(C61=1,B61&lt;='参数输入'!$B$9),ROUND(MAX('车辆输入'!$N$9-ROUND('车辆输入'!$N$9/MAX('参数输入'!$B$9,1),2)*(B61-1),0),2),0)</x:f>
        <x:v>0</x:v>
      </x:c>
      <x:c r="F61" s="136" t="n">
        <x:f>ROUND(D61+E61,2)</x:f>
        <x:v>0</x:v>
      </x:c>
      <x:c r="G61" s="136" t="n">
        <x:f>IF(C61=0,0,ROUND(IF(B61='参数输入'!$B$8,D61,MIN(D61,ROUND('车辆输入'!$M$9/'参数输入'!$B$8,2))),2))</x:f>
        <x:v>0</x:v>
      </x:c>
      <x:c r="H61" s="136" t="n">
        <x:f>IF(OR(C61=0,'参数输入'!$B$9=0,B61&gt;'参数输入'!$B$9),0,ROUND(IF(B61='参数输入'!$B$9,E61,MIN(E61,ROUND('车辆输入'!$N$9/'参数输入'!$B$9,2))),2))</x:f>
        <x:v>0</x:v>
      </x:c>
      <x:c r="I61" s="136" t="n">
        <x:f>ROUND(G61+H61,2)</x:f>
        <x:v>0</x:v>
      </x:c>
      <x:c r="J61" s="137" t="n">
        <x:f>IF(C61=1,F61/SUMIFS($F$3:$F$122,$A$3:$A$122,A61,$C$3:$C$122,1),0)</x:f>
        <x:v>0</x:v>
      </x:c>
      <x:c r="K61" s="136" t="n">
        <x:f>IF(C61=1,ROUND('车辆输入'!$K$9+'车辆输入'!$L$9,2),0)</x:f>
        <x:v>0</x:v>
      </x:c>
      <x:c r="L61" s="136" t="n">
        <x:f>IF(C61=1,ROUND(('车辆输入'!$M$9+'车辆输入'!$N$9)*'参数输入'!$B$20,2),0)</x:f>
        <x:v>0</x:v>
      </x:c>
      <x:c r="M61" s="136" t="n">
        <x:f>IF(C61=0,0,ROUND(IF(B61='参数输入'!$B$8,K61-SUMIFS($M$3:$M$122,$A$3:$A$122,A61,$B$3:$B$122,"&lt;"&amp;B61),K61*J61),2))</x:f>
        <x:v>0</x:v>
      </x:c>
      <x:c r="N61" s="136" t="n">
        <x:f>IF(C61=0,0,ROUND(IF(B61='参数输入'!$B$8,L61-SUMIFS($N$3:$N$122,$A$3:$A$122,A61,$B$3:$B$122,"&lt;"&amp;B61),L61*J61),2))</x:f>
        <x:v>0</x:v>
      </x:c>
      <x:c r="O61" s="128" t="n">
        <x:v>0</x:v>
      </x:c>
      <x:c r="P61" s="136" t="n">
        <x:f>ROUND(I61+O61,2)</x:f>
        <x:v>0</x:v>
      </x:c>
      <x:c r="Q61" s="123" t="str">
        <x:f>IF(C61=0,"",IF(B61=1,'参数输入'!$B$10,EDATE('参数输入'!$B$24,B61-1)+1))</x:f>
      </x:c>
      <x:c r="R61" s="123" t="str">
        <x:f>IF(C61=0,"",EDATE('参数输入'!$B$24,B61))</x:f>
      </x:c>
    </x:row>
    <x:row r="62">
      <x:c r="A62" s="101" t="str">
        <x:v>V05</x:v>
      </x:c>
      <x:c r="B62" s="101" t="n">
        <x:v>12</x:v>
      </x:c>
      <x:c r="C62" s="101" t="n">
        <x:f>IF(AND(SUM('车辆输入'!$B$9:$F$9)&gt;0,B62&lt;='参数输入'!$B$8),1,0)</x:f>
        <x:v>0</x:v>
      </x:c>
      <x:c r="D62" s="136" t="n">
        <x:f>IF(C62=1,ROUND(MAX('车辆输入'!$M$9-ROUND('车辆输入'!$M$9/'参数输入'!$B$8,2)*(B62-1),0),2),0)</x:f>
        <x:v>0</x:v>
      </x:c>
      <x:c r="E62" s="136" t="n">
        <x:f>IF(AND(C62=1,B62&lt;='参数输入'!$B$9),ROUND(MAX('车辆输入'!$N$9-ROUND('车辆输入'!$N$9/MAX('参数输入'!$B$9,1),2)*(B62-1),0),2),0)</x:f>
        <x:v>0</x:v>
      </x:c>
      <x:c r="F62" s="136" t="n">
        <x:f>ROUND(D62+E62,2)</x:f>
        <x:v>0</x:v>
      </x:c>
      <x:c r="G62" s="136" t="n">
        <x:f>IF(C62=0,0,ROUND(IF(B62='参数输入'!$B$8,D62,MIN(D62,ROUND('车辆输入'!$M$9/'参数输入'!$B$8,2))),2))</x:f>
        <x:v>0</x:v>
      </x:c>
      <x:c r="H62" s="136" t="n">
        <x:f>IF(OR(C62=0,'参数输入'!$B$9=0,B62&gt;'参数输入'!$B$9),0,ROUND(IF(B62='参数输入'!$B$9,E62,MIN(E62,ROUND('车辆输入'!$N$9/'参数输入'!$B$9,2))),2))</x:f>
        <x:v>0</x:v>
      </x:c>
      <x:c r="I62" s="136" t="n">
        <x:f>ROUND(G62+H62,2)</x:f>
        <x:v>0</x:v>
      </x:c>
      <x:c r="J62" s="137" t="n">
        <x:f>IF(C62=1,F62/SUMIFS($F$3:$F$122,$A$3:$A$122,A62,$C$3:$C$122,1),0)</x:f>
        <x:v>0</x:v>
      </x:c>
      <x:c r="K62" s="136" t="n">
        <x:f>IF(C62=1,ROUND('车辆输入'!$K$9+'车辆输入'!$L$9,2),0)</x:f>
        <x:v>0</x:v>
      </x:c>
      <x:c r="L62" s="136" t="n">
        <x:f>IF(C62=1,ROUND(('车辆输入'!$M$9+'车辆输入'!$N$9)*'参数输入'!$B$20,2),0)</x:f>
        <x:v>0</x:v>
      </x:c>
      <x:c r="M62" s="136" t="n">
        <x:f>IF(C62=0,0,ROUND(IF(B62='参数输入'!$B$8,K62-SUMIFS($M$3:$M$122,$A$3:$A$122,A62,$B$3:$B$122,"&lt;"&amp;B62),K62*J62),2))</x:f>
        <x:v>0</x:v>
      </x:c>
      <x:c r="N62" s="136" t="n">
        <x:f>IF(C62=0,0,ROUND(IF(B62='参数输入'!$B$8,L62-SUMIFS($N$3:$N$122,$A$3:$A$122,A62,$B$3:$B$122,"&lt;"&amp;B62),L62*J62),2))</x:f>
        <x:v>0</x:v>
      </x:c>
      <x:c r="O62" s="128" t="n">
        <x:v>0</x:v>
      </x:c>
      <x:c r="P62" s="136" t="n">
        <x:f>ROUND(I62+O62,2)</x:f>
        <x:v>0</x:v>
      </x:c>
      <x:c r="Q62" s="123" t="str">
        <x:f>IF(C62=0,"",IF(B62=1,'参数输入'!$B$10,EDATE('参数输入'!$B$24,B62-1)+1))</x:f>
      </x:c>
      <x:c r="R62" s="123" t="str">
        <x:f>IF(C62=0,"",EDATE('参数输入'!$B$24,B62))</x:f>
      </x:c>
    </x:row>
    <x:row r="63">
      <x:c r="A63" s="101" t="str">
        <x:v>V06</x:v>
      </x:c>
      <x:c r="B63" s="101" t="n">
        <x:v>1</x:v>
      </x:c>
      <x:c r="C63" s="101" t="n">
        <x:f>IF(AND(SUM('车辆输入'!$B$10:$F$10)&gt;0,B63&lt;='参数输入'!$B$8),1,0)</x:f>
        <x:v>0</x:v>
      </x:c>
      <x:c r="D63" s="136" t="n">
        <x:f>IF(C63=1,ROUND(MAX('车辆输入'!$M$10-ROUND('车辆输入'!$M$10/'参数输入'!$B$8,2)*(B63-1),0),2),0)</x:f>
        <x:v>0</x:v>
      </x:c>
      <x:c r="E63" s="136" t="n">
        <x:f>IF(AND(C63=1,B63&lt;='参数输入'!$B$9),ROUND(MAX('车辆输入'!$N$10-ROUND('车辆输入'!$N$10/MAX('参数输入'!$B$9,1),2)*(B63-1),0),2),0)</x:f>
        <x:v>0</x:v>
      </x:c>
      <x:c r="F63" s="136" t="n">
        <x:f>ROUND(D63+E63,2)</x:f>
        <x:v>0</x:v>
      </x:c>
      <x:c r="G63" s="136" t="n">
        <x:f>IF(C63=0,0,ROUND(IF(B63='参数输入'!$B$8,D63,MIN(D63,ROUND('车辆输入'!$M$10/'参数输入'!$B$8,2))),2))</x:f>
        <x:v>0</x:v>
      </x:c>
      <x:c r="H63" s="136" t="n">
        <x:f>IF(OR(C63=0,'参数输入'!$B$9=0,B63&gt;'参数输入'!$B$9),0,ROUND(IF(B63='参数输入'!$B$9,E63,MIN(E63,ROUND('车辆输入'!$N$10/'参数输入'!$B$9,2))),2))</x:f>
        <x:v>0</x:v>
      </x:c>
      <x:c r="I63" s="136" t="n">
        <x:f>ROUND(G63+H63,2)</x:f>
        <x:v>0</x:v>
      </x:c>
      <x:c r="J63" s="137" t="n">
        <x:f>IF(C63=1,F63/SUMIFS($F$3:$F$122,$A$3:$A$122,A63,$C$3:$C$122,1),0)</x:f>
        <x:v>0</x:v>
      </x:c>
      <x:c r="K63" s="136" t="n">
        <x:f>IF(C63=1,ROUND('车辆输入'!$K$10+'车辆输入'!$L$10,2),0)</x:f>
        <x:v>0</x:v>
      </x:c>
      <x:c r="L63" s="136" t="n">
        <x:f>IF(C63=1,ROUND(('车辆输入'!$M$10+'车辆输入'!$N$10)*'参数输入'!$B$20,2),0)</x:f>
        <x:v>0</x:v>
      </x:c>
      <x:c r="M63" s="136" t="n">
        <x:f>IF(C63=0,0,ROUND(IF(B63='参数输入'!$B$8,K63-SUMIFS($M$3:$M$122,$A$3:$A$122,A63,$B$3:$B$122,"&lt;"&amp;B63),K63*J63),2))</x:f>
        <x:v>0</x:v>
      </x:c>
      <x:c r="N63" s="136" t="n">
        <x:f>IF(C63=0,0,ROUND(IF(B63='参数输入'!$B$8,L63-SUMIFS($N$3:$N$122,$A$3:$A$122,A63,$B$3:$B$122,"&lt;"&amp;B63),L63*J63),2))</x:f>
        <x:v>0</x:v>
      </x:c>
      <x:c r="O63" s="128" t="n">
        <x:v>0</x:v>
      </x:c>
      <x:c r="P63" s="136" t="n">
        <x:f>ROUND(I63+O63,2)</x:f>
        <x:v>0</x:v>
      </x:c>
      <x:c r="Q63" s="123" t="str">
        <x:f>IF(C63=0,"",IF(B63=1,'参数输入'!$B$10,EDATE('参数输入'!$B$24,B63-1)+1))</x:f>
      </x:c>
      <x:c r="R63" s="123" t="str">
        <x:f>IF(C63=0,"",EDATE('参数输入'!$B$24,B63))</x:f>
      </x:c>
    </x:row>
    <x:row r="64">
      <x:c r="A64" s="101" t="str">
        <x:v>V06</x:v>
      </x:c>
      <x:c r="B64" s="101" t="n">
        <x:v>2</x:v>
      </x:c>
      <x:c r="C64" s="101" t="n">
        <x:f>IF(AND(SUM('车辆输入'!$B$10:$F$10)&gt;0,B64&lt;='参数输入'!$B$8),1,0)</x:f>
        <x:v>0</x:v>
      </x:c>
      <x:c r="D64" s="136" t="n">
        <x:f>IF(C64=1,ROUND(MAX('车辆输入'!$M$10-ROUND('车辆输入'!$M$10/'参数输入'!$B$8,2)*(B64-1),0),2),0)</x:f>
        <x:v>0</x:v>
      </x:c>
      <x:c r="E64" s="136" t="n">
        <x:f>IF(AND(C64=1,B64&lt;='参数输入'!$B$9),ROUND(MAX('车辆输入'!$N$10-ROUND('车辆输入'!$N$10/MAX('参数输入'!$B$9,1),2)*(B64-1),0),2),0)</x:f>
        <x:v>0</x:v>
      </x:c>
      <x:c r="F64" s="136" t="n">
        <x:f>ROUND(D64+E64,2)</x:f>
        <x:v>0</x:v>
      </x:c>
      <x:c r="G64" s="136" t="n">
        <x:f>IF(C64=0,0,ROUND(IF(B64='参数输入'!$B$8,D64,MIN(D64,ROUND('车辆输入'!$M$10/'参数输入'!$B$8,2))),2))</x:f>
        <x:v>0</x:v>
      </x:c>
      <x:c r="H64" s="136" t="n">
        <x:f>IF(OR(C64=0,'参数输入'!$B$9=0,B64&gt;'参数输入'!$B$9),0,ROUND(IF(B64='参数输入'!$B$9,E64,MIN(E64,ROUND('车辆输入'!$N$10/'参数输入'!$B$9,2))),2))</x:f>
        <x:v>0</x:v>
      </x:c>
      <x:c r="I64" s="136" t="n">
        <x:f>ROUND(G64+H64,2)</x:f>
        <x:v>0</x:v>
      </x:c>
      <x:c r="J64" s="137" t="n">
        <x:f>IF(C64=1,F64/SUMIFS($F$3:$F$122,$A$3:$A$122,A64,$C$3:$C$122,1),0)</x:f>
        <x:v>0</x:v>
      </x:c>
      <x:c r="K64" s="136" t="n">
        <x:f>IF(C64=1,ROUND('车辆输入'!$K$10+'车辆输入'!$L$10,2),0)</x:f>
        <x:v>0</x:v>
      </x:c>
      <x:c r="L64" s="136" t="n">
        <x:f>IF(C64=1,ROUND(('车辆输入'!$M$10+'车辆输入'!$N$10)*'参数输入'!$B$20,2),0)</x:f>
        <x:v>0</x:v>
      </x:c>
      <x:c r="M64" s="136" t="n">
        <x:f>IF(C64=0,0,ROUND(IF(B64='参数输入'!$B$8,K64-SUMIFS($M$3:$M$122,$A$3:$A$122,A64,$B$3:$B$122,"&lt;"&amp;B64),K64*J64),2))</x:f>
        <x:v>0</x:v>
      </x:c>
      <x:c r="N64" s="136" t="n">
        <x:f>IF(C64=0,0,ROUND(IF(B64='参数输入'!$B$8,L64-SUMIFS($N$3:$N$122,$A$3:$A$122,A64,$B$3:$B$122,"&lt;"&amp;B64),L64*J64),2))</x:f>
        <x:v>0</x:v>
      </x:c>
      <x:c r="O64" s="128" t="n">
        <x:v>0</x:v>
      </x:c>
      <x:c r="P64" s="136" t="n">
        <x:f>ROUND(I64+O64,2)</x:f>
        <x:v>0</x:v>
      </x:c>
      <x:c r="Q64" s="123" t="str">
        <x:f>IF(C64=0,"",IF(B64=1,'参数输入'!$B$10,EDATE('参数输入'!$B$24,B64-1)+1))</x:f>
      </x:c>
      <x:c r="R64" s="123" t="str">
        <x:f>IF(C64=0,"",EDATE('参数输入'!$B$24,B64))</x:f>
      </x:c>
    </x:row>
    <x:row r="65">
      <x:c r="A65" s="101" t="str">
        <x:v>V06</x:v>
      </x:c>
      <x:c r="B65" s="101" t="n">
        <x:v>3</x:v>
      </x:c>
      <x:c r="C65" s="101" t="n">
        <x:f>IF(AND(SUM('车辆输入'!$B$10:$F$10)&gt;0,B65&lt;='参数输入'!$B$8),1,0)</x:f>
        <x:v>0</x:v>
      </x:c>
      <x:c r="D65" s="136" t="n">
        <x:f>IF(C65=1,ROUND(MAX('车辆输入'!$M$10-ROUND('车辆输入'!$M$10/'参数输入'!$B$8,2)*(B65-1),0),2),0)</x:f>
        <x:v>0</x:v>
      </x:c>
      <x:c r="E65" s="136" t="n">
        <x:f>IF(AND(C65=1,B65&lt;='参数输入'!$B$9),ROUND(MAX('车辆输入'!$N$10-ROUND('车辆输入'!$N$10/MAX('参数输入'!$B$9,1),2)*(B65-1),0),2),0)</x:f>
        <x:v>0</x:v>
      </x:c>
      <x:c r="F65" s="136" t="n">
        <x:f>ROUND(D65+E65,2)</x:f>
        <x:v>0</x:v>
      </x:c>
      <x:c r="G65" s="136" t="n">
        <x:f>IF(C65=0,0,ROUND(IF(B65='参数输入'!$B$8,D65,MIN(D65,ROUND('车辆输入'!$M$10/'参数输入'!$B$8,2))),2))</x:f>
        <x:v>0</x:v>
      </x:c>
      <x:c r="H65" s="136" t="n">
        <x:f>IF(OR(C65=0,'参数输入'!$B$9=0,B65&gt;'参数输入'!$B$9),0,ROUND(IF(B65='参数输入'!$B$9,E65,MIN(E65,ROUND('车辆输入'!$N$10/'参数输入'!$B$9,2))),2))</x:f>
        <x:v>0</x:v>
      </x:c>
      <x:c r="I65" s="136" t="n">
        <x:f>ROUND(G65+H65,2)</x:f>
        <x:v>0</x:v>
      </x:c>
      <x:c r="J65" s="137" t="n">
        <x:f>IF(C65=1,F65/SUMIFS($F$3:$F$122,$A$3:$A$122,A65,$C$3:$C$122,1),0)</x:f>
        <x:v>0</x:v>
      </x:c>
      <x:c r="K65" s="136" t="n">
        <x:f>IF(C65=1,ROUND('车辆输入'!$K$10+'车辆输入'!$L$10,2),0)</x:f>
        <x:v>0</x:v>
      </x:c>
      <x:c r="L65" s="136" t="n">
        <x:f>IF(C65=1,ROUND(('车辆输入'!$M$10+'车辆输入'!$N$10)*'参数输入'!$B$20,2),0)</x:f>
        <x:v>0</x:v>
      </x:c>
      <x:c r="M65" s="136" t="n">
        <x:f>IF(C65=0,0,ROUND(IF(B65='参数输入'!$B$8,K65-SUMIFS($M$3:$M$122,$A$3:$A$122,A65,$B$3:$B$122,"&lt;"&amp;B65),K65*J65),2))</x:f>
        <x:v>0</x:v>
      </x:c>
      <x:c r="N65" s="136" t="n">
        <x:f>IF(C65=0,0,ROUND(IF(B65='参数输入'!$B$8,L65-SUMIFS($N$3:$N$122,$A$3:$A$122,A65,$B$3:$B$122,"&lt;"&amp;B65),L65*J65),2))</x:f>
        <x:v>0</x:v>
      </x:c>
      <x:c r="O65" s="128" t="n">
        <x:v>0</x:v>
      </x:c>
      <x:c r="P65" s="136" t="n">
        <x:f>ROUND(I65+O65,2)</x:f>
        <x:v>0</x:v>
      </x:c>
      <x:c r="Q65" s="123" t="str">
        <x:f>IF(C65=0,"",IF(B65=1,'参数输入'!$B$10,EDATE('参数输入'!$B$24,B65-1)+1))</x:f>
      </x:c>
      <x:c r="R65" s="123" t="str">
        <x:f>IF(C65=0,"",EDATE('参数输入'!$B$24,B65))</x:f>
      </x:c>
    </x:row>
    <x:row r="66">
      <x:c r="A66" s="101" t="str">
        <x:v>V06</x:v>
      </x:c>
      <x:c r="B66" s="101" t="n">
        <x:v>4</x:v>
      </x:c>
      <x:c r="C66" s="101" t="n">
        <x:f>IF(AND(SUM('车辆输入'!$B$10:$F$10)&gt;0,B66&lt;='参数输入'!$B$8),1,0)</x:f>
        <x:v>0</x:v>
      </x:c>
      <x:c r="D66" s="136" t="n">
        <x:f>IF(C66=1,ROUND(MAX('车辆输入'!$M$10-ROUND('车辆输入'!$M$10/'参数输入'!$B$8,2)*(B66-1),0),2),0)</x:f>
        <x:v>0</x:v>
      </x:c>
      <x:c r="E66" s="136" t="n">
        <x:f>IF(AND(C66=1,B66&lt;='参数输入'!$B$9),ROUND(MAX('车辆输入'!$N$10-ROUND('车辆输入'!$N$10/MAX('参数输入'!$B$9,1),2)*(B66-1),0),2),0)</x:f>
        <x:v>0</x:v>
      </x:c>
      <x:c r="F66" s="136" t="n">
        <x:f>ROUND(D66+E66,2)</x:f>
        <x:v>0</x:v>
      </x:c>
      <x:c r="G66" s="136" t="n">
        <x:f>IF(C66=0,0,ROUND(IF(B66='参数输入'!$B$8,D66,MIN(D66,ROUND('车辆输入'!$M$10/'参数输入'!$B$8,2))),2))</x:f>
        <x:v>0</x:v>
      </x:c>
      <x:c r="H66" s="136" t="n">
        <x:f>IF(OR(C66=0,'参数输入'!$B$9=0,B66&gt;'参数输入'!$B$9),0,ROUND(IF(B66='参数输入'!$B$9,E66,MIN(E66,ROUND('车辆输入'!$N$10/'参数输入'!$B$9,2))),2))</x:f>
        <x:v>0</x:v>
      </x:c>
      <x:c r="I66" s="136" t="n">
        <x:f>ROUND(G66+H66,2)</x:f>
        <x:v>0</x:v>
      </x:c>
      <x:c r="J66" s="137" t="n">
        <x:f>IF(C66=1,F66/SUMIFS($F$3:$F$122,$A$3:$A$122,A66,$C$3:$C$122,1),0)</x:f>
        <x:v>0</x:v>
      </x:c>
      <x:c r="K66" s="136" t="n">
        <x:f>IF(C66=1,ROUND('车辆输入'!$K$10+'车辆输入'!$L$10,2),0)</x:f>
        <x:v>0</x:v>
      </x:c>
      <x:c r="L66" s="136" t="n">
        <x:f>IF(C66=1,ROUND(('车辆输入'!$M$10+'车辆输入'!$N$10)*'参数输入'!$B$20,2),0)</x:f>
        <x:v>0</x:v>
      </x:c>
      <x:c r="M66" s="136" t="n">
        <x:f>IF(C66=0,0,ROUND(IF(B66='参数输入'!$B$8,K66-SUMIFS($M$3:$M$122,$A$3:$A$122,A66,$B$3:$B$122,"&lt;"&amp;B66),K66*J66),2))</x:f>
        <x:v>0</x:v>
      </x:c>
      <x:c r="N66" s="136" t="n">
        <x:f>IF(C66=0,0,ROUND(IF(B66='参数输入'!$B$8,L66-SUMIFS($N$3:$N$122,$A$3:$A$122,A66,$B$3:$B$122,"&lt;"&amp;B66),L66*J66),2))</x:f>
        <x:v>0</x:v>
      </x:c>
      <x:c r="O66" s="128" t="n">
        <x:v>0</x:v>
      </x:c>
      <x:c r="P66" s="136" t="n">
        <x:f>ROUND(I66+O66,2)</x:f>
        <x:v>0</x:v>
      </x:c>
      <x:c r="Q66" s="123" t="str">
        <x:f>IF(C66=0,"",IF(B66=1,'参数输入'!$B$10,EDATE('参数输入'!$B$24,B66-1)+1))</x:f>
      </x:c>
      <x:c r="R66" s="123" t="str">
        <x:f>IF(C66=0,"",EDATE('参数输入'!$B$24,B66))</x:f>
      </x:c>
    </x:row>
    <x:row r="67">
      <x:c r="A67" s="101" t="str">
        <x:v>V06</x:v>
      </x:c>
      <x:c r="B67" s="101" t="n">
        <x:v>5</x:v>
      </x:c>
      <x:c r="C67" s="101" t="n">
        <x:f>IF(AND(SUM('车辆输入'!$B$10:$F$10)&gt;0,B67&lt;='参数输入'!$B$8),1,0)</x:f>
        <x:v>0</x:v>
      </x:c>
      <x:c r="D67" s="136" t="n">
        <x:f>IF(C67=1,ROUND(MAX('车辆输入'!$M$10-ROUND('车辆输入'!$M$10/'参数输入'!$B$8,2)*(B67-1),0),2),0)</x:f>
        <x:v>0</x:v>
      </x:c>
      <x:c r="E67" s="136" t="n">
        <x:f>IF(AND(C67=1,B67&lt;='参数输入'!$B$9),ROUND(MAX('车辆输入'!$N$10-ROUND('车辆输入'!$N$10/MAX('参数输入'!$B$9,1),2)*(B67-1),0),2),0)</x:f>
        <x:v>0</x:v>
      </x:c>
      <x:c r="F67" s="136" t="n">
        <x:f>ROUND(D67+E67,2)</x:f>
        <x:v>0</x:v>
      </x:c>
      <x:c r="G67" s="136" t="n">
        <x:f>IF(C67=0,0,ROUND(IF(B67='参数输入'!$B$8,D67,MIN(D67,ROUND('车辆输入'!$M$10/'参数输入'!$B$8,2))),2))</x:f>
        <x:v>0</x:v>
      </x:c>
      <x:c r="H67" s="136" t="n">
        <x:f>IF(OR(C67=0,'参数输入'!$B$9=0,B67&gt;'参数输入'!$B$9),0,ROUND(IF(B67='参数输入'!$B$9,E67,MIN(E67,ROUND('车辆输入'!$N$10/'参数输入'!$B$9,2))),2))</x:f>
        <x:v>0</x:v>
      </x:c>
      <x:c r="I67" s="136" t="n">
        <x:f>ROUND(G67+H67,2)</x:f>
        <x:v>0</x:v>
      </x:c>
      <x:c r="J67" s="137" t="n">
        <x:f>IF(C67=1,F67/SUMIFS($F$3:$F$122,$A$3:$A$122,A67,$C$3:$C$122,1),0)</x:f>
        <x:v>0</x:v>
      </x:c>
      <x:c r="K67" s="136" t="n">
        <x:f>IF(C67=1,ROUND('车辆输入'!$K$10+'车辆输入'!$L$10,2),0)</x:f>
        <x:v>0</x:v>
      </x:c>
      <x:c r="L67" s="136" t="n">
        <x:f>IF(C67=1,ROUND(('车辆输入'!$M$10+'车辆输入'!$N$10)*'参数输入'!$B$20,2),0)</x:f>
        <x:v>0</x:v>
      </x:c>
      <x:c r="M67" s="136" t="n">
        <x:f>IF(C67=0,0,ROUND(IF(B67='参数输入'!$B$8,K67-SUMIFS($M$3:$M$122,$A$3:$A$122,A67,$B$3:$B$122,"&lt;"&amp;B67),K67*J67),2))</x:f>
        <x:v>0</x:v>
      </x:c>
      <x:c r="N67" s="136" t="n">
        <x:f>IF(C67=0,0,ROUND(IF(B67='参数输入'!$B$8,L67-SUMIFS($N$3:$N$122,$A$3:$A$122,A67,$B$3:$B$122,"&lt;"&amp;B67),L67*J67),2))</x:f>
        <x:v>0</x:v>
      </x:c>
      <x:c r="O67" s="128" t="n">
        <x:v>0</x:v>
      </x:c>
      <x:c r="P67" s="136" t="n">
        <x:f>ROUND(I67+O67,2)</x:f>
        <x:v>0</x:v>
      </x:c>
      <x:c r="Q67" s="123" t="str">
        <x:f>IF(C67=0,"",IF(B67=1,'参数输入'!$B$10,EDATE('参数输入'!$B$24,B67-1)+1))</x:f>
      </x:c>
      <x:c r="R67" s="123" t="str">
        <x:f>IF(C67=0,"",EDATE('参数输入'!$B$24,B67))</x:f>
      </x:c>
    </x:row>
    <x:row r="68">
      <x:c r="A68" s="101" t="str">
        <x:v>V06</x:v>
      </x:c>
      <x:c r="B68" s="101" t="n">
        <x:v>6</x:v>
      </x:c>
      <x:c r="C68" s="101" t="n">
        <x:f>IF(AND(SUM('车辆输入'!$B$10:$F$10)&gt;0,B68&lt;='参数输入'!$B$8),1,0)</x:f>
        <x:v>0</x:v>
      </x:c>
      <x:c r="D68" s="136" t="n">
        <x:f>IF(C68=1,ROUND(MAX('车辆输入'!$M$10-ROUND('车辆输入'!$M$10/'参数输入'!$B$8,2)*(B68-1),0),2),0)</x:f>
        <x:v>0</x:v>
      </x:c>
      <x:c r="E68" s="136" t="n">
        <x:f>IF(AND(C68=1,B68&lt;='参数输入'!$B$9),ROUND(MAX('车辆输入'!$N$10-ROUND('车辆输入'!$N$10/MAX('参数输入'!$B$9,1),2)*(B68-1),0),2),0)</x:f>
        <x:v>0</x:v>
      </x:c>
      <x:c r="F68" s="136" t="n">
        <x:f>ROUND(D68+E68,2)</x:f>
        <x:v>0</x:v>
      </x:c>
      <x:c r="G68" s="136" t="n">
        <x:f>IF(C68=0,0,ROUND(IF(B68='参数输入'!$B$8,D68,MIN(D68,ROUND('车辆输入'!$M$10/'参数输入'!$B$8,2))),2))</x:f>
        <x:v>0</x:v>
      </x:c>
      <x:c r="H68" s="136" t="n">
        <x:f>IF(OR(C68=0,'参数输入'!$B$9=0,B68&gt;'参数输入'!$B$9),0,ROUND(IF(B68='参数输入'!$B$9,E68,MIN(E68,ROUND('车辆输入'!$N$10/'参数输入'!$B$9,2))),2))</x:f>
        <x:v>0</x:v>
      </x:c>
      <x:c r="I68" s="136" t="n">
        <x:f>ROUND(G68+H68,2)</x:f>
        <x:v>0</x:v>
      </x:c>
      <x:c r="J68" s="137" t="n">
        <x:f>IF(C68=1,F68/SUMIFS($F$3:$F$122,$A$3:$A$122,A68,$C$3:$C$122,1),0)</x:f>
        <x:v>0</x:v>
      </x:c>
      <x:c r="K68" s="136" t="n">
        <x:f>IF(C68=1,ROUND('车辆输入'!$K$10+'车辆输入'!$L$10,2),0)</x:f>
        <x:v>0</x:v>
      </x:c>
      <x:c r="L68" s="136" t="n">
        <x:f>IF(C68=1,ROUND(('车辆输入'!$M$10+'车辆输入'!$N$10)*'参数输入'!$B$20,2),0)</x:f>
        <x:v>0</x:v>
      </x:c>
      <x:c r="M68" s="136" t="n">
        <x:f>IF(C68=0,0,ROUND(IF(B68='参数输入'!$B$8,K68-SUMIFS($M$3:$M$122,$A$3:$A$122,A68,$B$3:$B$122,"&lt;"&amp;B68),K68*J68),2))</x:f>
        <x:v>0</x:v>
      </x:c>
      <x:c r="N68" s="136" t="n">
        <x:f>IF(C68=0,0,ROUND(IF(B68='参数输入'!$B$8,L68-SUMIFS($N$3:$N$122,$A$3:$A$122,A68,$B$3:$B$122,"&lt;"&amp;B68),L68*J68),2))</x:f>
        <x:v>0</x:v>
      </x:c>
      <x:c r="O68" s="128" t="n">
        <x:v>0</x:v>
      </x:c>
      <x:c r="P68" s="136" t="n">
        <x:f>ROUND(I68+O68,2)</x:f>
        <x:v>0</x:v>
      </x:c>
      <x:c r="Q68" s="123" t="str">
        <x:f>IF(C68=0,"",IF(B68=1,'参数输入'!$B$10,EDATE('参数输入'!$B$24,B68-1)+1))</x:f>
      </x:c>
      <x:c r="R68" s="123" t="str">
        <x:f>IF(C68=0,"",EDATE('参数输入'!$B$24,B68))</x:f>
      </x:c>
    </x:row>
    <x:row r="69">
      <x:c r="A69" s="101" t="str">
        <x:v>V06</x:v>
      </x:c>
      <x:c r="B69" s="101" t="n">
        <x:v>7</x:v>
      </x:c>
      <x:c r="C69" s="101" t="n">
        <x:f>IF(AND(SUM('车辆输入'!$B$10:$F$10)&gt;0,B69&lt;='参数输入'!$B$8),1,0)</x:f>
        <x:v>0</x:v>
      </x:c>
      <x:c r="D69" s="136" t="n">
        <x:f>IF(C69=1,ROUND(MAX('车辆输入'!$M$10-ROUND('车辆输入'!$M$10/'参数输入'!$B$8,2)*(B69-1),0),2),0)</x:f>
        <x:v>0</x:v>
      </x:c>
      <x:c r="E69" s="136" t="n">
        <x:f>IF(AND(C69=1,B69&lt;='参数输入'!$B$9),ROUND(MAX('车辆输入'!$N$10-ROUND('车辆输入'!$N$10/MAX('参数输入'!$B$9,1),2)*(B69-1),0),2),0)</x:f>
        <x:v>0</x:v>
      </x:c>
      <x:c r="F69" s="136" t="n">
        <x:f>ROUND(D69+E69,2)</x:f>
        <x:v>0</x:v>
      </x:c>
      <x:c r="G69" s="136" t="n">
        <x:f>IF(C69=0,0,ROUND(IF(B69='参数输入'!$B$8,D69,MIN(D69,ROUND('车辆输入'!$M$10/'参数输入'!$B$8,2))),2))</x:f>
        <x:v>0</x:v>
      </x:c>
      <x:c r="H69" s="136" t="n">
        <x:f>IF(OR(C69=0,'参数输入'!$B$9=0,B69&gt;'参数输入'!$B$9),0,ROUND(IF(B69='参数输入'!$B$9,E69,MIN(E69,ROUND('车辆输入'!$N$10/'参数输入'!$B$9,2))),2))</x:f>
        <x:v>0</x:v>
      </x:c>
      <x:c r="I69" s="136" t="n">
        <x:f>ROUND(G69+H69,2)</x:f>
        <x:v>0</x:v>
      </x:c>
      <x:c r="J69" s="137" t="n">
        <x:f>IF(C69=1,F69/SUMIFS($F$3:$F$122,$A$3:$A$122,A69,$C$3:$C$122,1),0)</x:f>
        <x:v>0</x:v>
      </x:c>
      <x:c r="K69" s="136" t="n">
        <x:f>IF(C69=1,ROUND('车辆输入'!$K$10+'车辆输入'!$L$10,2),0)</x:f>
        <x:v>0</x:v>
      </x:c>
      <x:c r="L69" s="136" t="n">
        <x:f>IF(C69=1,ROUND(('车辆输入'!$M$10+'车辆输入'!$N$10)*'参数输入'!$B$20,2),0)</x:f>
        <x:v>0</x:v>
      </x:c>
      <x:c r="M69" s="136" t="n">
        <x:f>IF(C69=0,0,ROUND(IF(B69='参数输入'!$B$8,K69-SUMIFS($M$3:$M$122,$A$3:$A$122,A69,$B$3:$B$122,"&lt;"&amp;B69),K69*J69),2))</x:f>
        <x:v>0</x:v>
      </x:c>
      <x:c r="N69" s="136" t="n">
        <x:f>IF(C69=0,0,ROUND(IF(B69='参数输入'!$B$8,L69-SUMIFS($N$3:$N$122,$A$3:$A$122,A69,$B$3:$B$122,"&lt;"&amp;B69),L69*J69),2))</x:f>
        <x:v>0</x:v>
      </x:c>
      <x:c r="O69" s="128" t="n">
        <x:v>0</x:v>
      </x:c>
      <x:c r="P69" s="136" t="n">
        <x:f>ROUND(I69+O69,2)</x:f>
        <x:v>0</x:v>
      </x:c>
      <x:c r="Q69" s="123" t="str">
        <x:f>IF(C69=0,"",IF(B69=1,'参数输入'!$B$10,EDATE('参数输入'!$B$24,B69-1)+1))</x:f>
      </x:c>
      <x:c r="R69" s="123" t="str">
        <x:f>IF(C69=0,"",EDATE('参数输入'!$B$24,B69))</x:f>
      </x:c>
    </x:row>
    <x:row r="70">
      <x:c r="A70" s="101" t="str">
        <x:v>V06</x:v>
      </x:c>
      <x:c r="B70" s="101" t="n">
        <x:v>8</x:v>
      </x:c>
      <x:c r="C70" s="101" t="n">
        <x:f>IF(AND(SUM('车辆输入'!$B$10:$F$10)&gt;0,B70&lt;='参数输入'!$B$8),1,0)</x:f>
        <x:v>0</x:v>
      </x:c>
      <x:c r="D70" s="136" t="n">
        <x:f>IF(C70=1,ROUND(MAX('车辆输入'!$M$10-ROUND('车辆输入'!$M$10/'参数输入'!$B$8,2)*(B70-1),0),2),0)</x:f>
        <x:v>0</x:v>
      </x:c>
      <x:c r="E70" s="136" t="n">
        <x:f>IF(AND(C70=1,B70&lt;='参数输入'!$B$9),ROUND(MAX('车辆输入'!$N$10-ROUND('车辆输入'!$N$10/MAX('参数输入'!$B$9,1),2)*(B70-1),0),2),0)</x:f>
        <x:v>0</x:v>
      </x:c>
      <x:c r="F70" s="136" t="n">
        <x:f>ROUND(D70+E70,2)</x:f>
        <x:v>0</x:v>
      </x:c>
      <x:c r="G70" s="136" t="n">
        <x:f>IF(C70=0,0,ROUND(IF(B70='参数输入'!$B$8,D70,MIN(D70,ROUND('车辆输入'!$M$10/'参数输入'!$B$8,2))),2))</x:f>
        <x:v>0</x:v>
      </x:c>
      <x:c r="H70" s="136" t="n">
        <x:f>IF(OR(C70=0,'参数输入'!$B$9=0,B70&gt;'参数输入'!$B$9),0,ROUND(IF(B70='参数输入'!$B$9,E70,MIN(E70,ROUND('车辆输入'!$N$10/'参数输入'!$B$9,2))),2))</x:f>
        <x:v>0</x:v>
      </x:c>
      <x:c r="I70" s="136" t="n">
        <x:f>ROUND(G70+H70,2)</x:f>
        <x:v>0</x:v>
      </x:c>
      <x:c r="J70" s="137" t="n">
        <x:f>IF(C70=1,F70/SUMIFS($F$3:$F$122,$A$3:$A$122,A70,$C$3:$C$122,1),0)</x:f>
        <x:v>0</x:v>
      </x:c>
      <x:c r="K70" s="136" t="n">
        <x:f>IF(C70=1,ROUND('车辆输入'!$K$10+'车辆输入'!$L$10,2),0)</x:f>
        <x:v>0</x:v>
      </x:c>
      <x:c r="L70" s="136" t="n">
        <x:f>IF(C70=1,ROUND(('车辆输入'!$M$10+'车辆输入'!$N$10)*'参数输入'!$B$20,2),0)</x:f>
        <x:v>0</x:v>
      </x:c>
      <x:c r="M70" s="136" t="n">
        <x:f>IF(C70=0,0,ROUND(IF(B70='参数输入'!$B$8,K70-SUMIFS($M$3:$M$122,$A$3:$A$122,A70,$B$3:$B$122,"&lt;"&amp;B70),K70*J70),2))</x:f>
        <x:v>0</x:v>
      </x:c>
      <x:c r="N70" s="136" t="n">
        <x:f>IF(C70=0,0,ROUND(IF(B70='参数输入'!$B$8,L70-SUMIFS($N$3:$N$122,$A$3:$A$122,A70,$B$3:$B$122,"&lt;"&amp;B70),L70*J70),2))</x:f>
        <x:v>0</x:v>
      </x:c>
      <x:c r="O70" s="128" t="n">
        <x:v>0</x:v>
      </x:c>
      <x:c r="P70" s="136" t="n">
        <x:f>ROUND(I70+O70,2)</x:f>
        <x:v>0</x:v>
      </x:c>
      <x:c r="Q70" s="123" t="str">
        <x:f>IF(C70=0,"",IF(B70=1,'参数输入'!$B$10,EDATE('参数输入'!$B$24,B70-1)+1))</x:f>
      </x:c>
      <x:c r="R70" s="123" t="str">
        <x:f>IF(C70=0,"",EDATE('参数输入'!$B$24,B70))</x:f>
      </x:c>
    </x:row>
    <x:row r="71">
      <x:c r="A71" s="101" t="str">
        <x:v>V06</x:v>
      </x:c>
      <x:c r="B71" s="101" t="n">
        <x:v>9</x:v>
      </x:c>
      <x:c r="C71" s="101" t="n">
        <x:f>IF(AND(SUM('车辆输入'!$B$10:$F$10)&gt;0,B71&lt;='参数输入'!$B$8),1,0)</x:f>
        <x:v>0</x:v>
      </x:c>
      <x:c r="D71" s="136" t="n">
        <x:f>IF(C71=1,ROUND(MAX('车辆输入'!$M$10-ROUND('车辆输入'!$M$10/'参数输入'!$B$8,2)*(B71-1),0),2),0)</x:f>
        <x:v>0</x:v>
      </x:c>
      <x:c r="E71" s="136" t="n">
        <x:f>IF(AND(C71=1,B71&lt;='参数输入'!$B$9),ROUND(MAX('车辆输入'!$N$10-ROUND('车辆输入'!$N$10/MAX('参数输入'!$B$9,1),2)*(B71-1),0),2),0)</x:f>
        <x:v>0</x:v>
      </x:c>
      <x:c r="F71" s="136" t="n">
        <x:f>ROUND(D71+E71,2)</x:f>
        <x:v>0</x:v>
      </x:c>
      <x:c r="G71" s="136" t="n">
        <x:f>IF(C71=0,0,ROUND(IF(B71='参数输入'!$B$8,D71,MIN(D71,ROUND('车辆输入'!$M$10/'参数输入'!$B$8,2))),2))</x:f>
        <x:v>0</x:v>
      </x:c>
      <x:c r="H71" s="136" t="n">
        <x:f>IF(OR(C71=0,'参数输入'!$B$9=0,B71&gt;'参数输入'!$B$9),0,ROUND(IF(B71='参数输入'!$B$9,E71,MIN(E71,ROUND('车辆输入'!$N$10/'参数输入'!$B$9,2))),2))</x:f>
        <x:v>0</x:v>
      </x:c>
      <x:c r="I71" s="136" t="n">
        <x:f>ROUND(G71+H71,2)</x:f>
        <x:v>0</x:v>
      </x:c>
      <x:c r="J71" s="137" t="n">
        <x:f>IF(C71=1,F71/SUMIFS($F$3:$F$122,$A$3:$A$122,A71,$C$3:$C$122,1),0)</x:f>
        <x:v>0</x:v>
      </x:c>
      <x:c r="K71" s="136" t="n">
        <x:f>IF(C71=1,ROUND('车辆输入'!$K$10+'车辆输入'!$L$10,2),0)</x:f>
        <x:v>0</x:v>
      </x:c>
      <x:c r="L71" s="136" t="n">
        <x:f>IF(C71=1,ROUND(('车辆输入'!$M$10+'车辆输入'!$N$10)*'参数输入'!$B$20,2),0)</x:f>
        <x:v>0</x:v>
      </x:c>
      <x:c r="M71" s="136" t="n">
        <x:f>IF(C71=0,0,ROUND(IF(B71='参数输入'!$B$8,K71-SUMIFS($M$3:$M$122,$A$3:$A$122,A71,$B$3:$B$122,"&lt;"&amp;B71),K71*J71),2))</x:f>
        <x:v>0</x:v>
      </x:c>
      <x:c r="N71" s="136" t="n">
        <x:f>IF(C71=0,0,ROUND(IF(B71='参数输入'!$B$8,L71-SUMIFS($N$3:$N$122,$A$3:$A$122,A71,$B$3:$B$122,"&lt;"&amp;B71),L71*J71),2))</x:f>
        <x:v>0</x:v>
      </x:c>
      <x:c r="O71" s="128" t="n">
        <x:v>0</x:v>
      </x:c>
      <x:c r="P71" s="136" t="n">
        <x:f>ROUND(I71+O71,2)</x:f>
        <x:v>0</x:v>
      </x:c>
      <x:c r="Q71" s="123" t="str">
        <x:f>IF(C71=0,"",IF(B71=1,'参数输入'!$B$10,EDATE('参数输入'!$B$24,B71-1)+1))</x:f>
      </x:c>
      <x:c r="R71" s="123" t="str">
        <x:f>IF(C71=0,"",EDATE('参数输入'!$B$24,B71))</x:f>
      </x:c>
    </x:row>
    <x:row r="72">
      <x:c r="A72" s="101" t="str">
        <x:v>V06</x:v>
      </x:c>
      <x:c r="B72" s="101" t="n">
        <x:v>10</x:v>
      </x:c>
      <x:c r="C72" s="101" t="n">
        <x:f>IF(AND(SUM('车辆输入'!$B$10:$F$10)&gt;0,B72&lt;='参数输入'!$B$8),1,0)</x:f>
        <x:v>0</x:v>
      </x:c>
      <x:c r="D72" s="136" t="n">
        <x:f>IF(C72=1,ROUND(MAX('车辆输入'!$M$10-ROUND('车辆输入'!$M$10/'参数输入'!$B$8,2)*(B72-1),0),2),0)</x:f>
        <x:v>0</x:v>
      </x:c>
      <x:c r="E72" s="136" t="n">
        <x:f>IF(AND(C72=1,B72&lt;='参数输入'!$B$9),ROUND(MAX('车辆输入'!$N$10-ROUND('车辆输入'!$N$10/MAX('参数输入'!$B$9,1),2)*(B72-1),0),2),0)</x:f>
        <x:v>0</x:v>
      </x:c>
      <x:c r="F72" s="136" t="n">
        <x:f>ROUND(D72+E72,2)</x:f>
        <x:v>0</x:v>
      </x:c>
      <x:c r="G72" s="136" t="n">
        <x:f>IF(C72=0,0,ROUND(IF(B72='参数输入'!$B$8,D72,MIN(D72,ROUND('车辆输入'!$M$10/'参数输入'!$B$8,2))),2))</x:f>
        <x:v>0</x:v>
      </x:c>
      <x:c r="H72" s="136" t="n">
        <x:f>IF(OR(C72=0,'参数输入'!$B$9=0,B72&gt;'参数输入'!$B$9),0,ROUND(IF(B72='参数输入'!$B$9,E72,MIN(E72,ROUND('车辆输入'!$N$10/'参数输入'!$B$9,2))),2))</x:f>
        <x:v>0</x:v>
      </x:c>
      <x:c r="I72" s="136" t="n">
        <x:f>ROUND(G72+H72,2)</x:f>
        <x:v>0</x:v>
      </x:c>
      <x:c r="J72" s="137" t="n">
        <x:f>IF(C72=1,F72/SUMIFS($F$3:$F$122,$A$3:$A$122,A72,$C$3:$C$122,1),0)</x:f>
        <x:v>0</x:v>
      </x:c>
      <x:c r="K72" s="136" t="n">
        <x:f>IF(C72=1,ROUND('车辆输入'!$K$10+'车辆输入'!$L$10,2),0)</x:f>
        <x:v>0</x:v>
      </x:c>
      <x:c r="L72" s="136" t="n">
        <x:f>IF(C72=1,ROUND(('车辆输入'!$M$10+'车辆输入'!$N$10)*'参数输入'!$B$20,2),0)</x:f>
        <x:v>0</x:v>
      </x:c>
      <x:c r="M72" s="136" t="n">
        <x:f>IF(C72=0,0,ROUND(IF(B72='参数输入'!$B$8,K72-SUMIFS($M$3:$M$122,$A$3:$A$122,A72,$B$3:$B$122,"&lt;"&amp;B72),K72*J72),2))</x:f>
        <x:v>0</x:v>
      </x:c>
      <x:c r="N72" s="136" t="n">
        <x:f>IF(C72=0,0,ROUND(IF(B72='参数输入'!$B$8,L72-SUMIFS($N$3:$N$122,$A$3:$A$122,A72,$B$3:$B$122,"&lt;"&amp;B72),L72*J72),2))</x:f>
        <x:v>0</x:v>
      </x:c>
      <x:c r="O72" s="128" t="n">
        <x:v>0</x:v>
      </x:c>
      <x:c r="P72" s="136" t="n">
        <x:f>ROUND(I72+O72,2)</x:f>
        <x:v>0</x:v>
      </x:c>
      <x:c r="Q72" s="123" t="str">
        <x:f>IF(C72=0,"",IF(B72=1,'参数输入'!$B$10,EDATE('参数输入'!$B$24,B72-1)+1))</x:f>
      </x:c>
      <x:c r="R72" s="123" t="str">
        <x:f>IF(C72=0,"",EDATE('参数输入'!$B$24,B72))</x:f>
      </x:c>
    </x:row>
    <x:row r="73">
      <x:c r="A73" s="101" t="str">
        <x:v>V06</x:v>
      </x:c>
      <x:c r="B73" s="101" t="n">
        <x:v>11</x:v>
      </x:c>
      <x:c r="C73" s="101" t="n">
        <x:f>IF(AND(SUM('车辆输入'!$B$10:$F$10)&gt;0,B73&lt;='参数输入'!$B$8),1,0)</x:f>
        <x:v>0</x:v>
      </x:c>
      <x:c r="D73" s="136" t="n">
        <x:f>IF(C73=1,ROUND(MAX('车辆输入'!$M$10-ROUND('车辆输入'!$M$10/'参数输入'!$B$8,2)*(B73-1),0),2),0)</x:f>
        <x:v>0</x:v>
      </x:c>
      <x:c r="E73" s="136" t="n">
        <x:f>IF(AND(C73=1,B73&lt;='参数输入'!$B$9),ROUND(MAX('车辆输入'!$N$10-ROUND('车辆输入'!$N$10/MAX('参数输入'!$B$9,1),2)*(B73-1),0),2),0)</x:f>
        <x:v>0</x:v>
      </x:c>
      <x:c r="F73" s="136" t="n">
        <x:f>ROUND(D73+E73,2)</x:f>
        <x:v>0</x:v>
      </x:c>
      <x:c r="G73" s="136" t="n">
        <x:f>IF(C73=0,0,ROUND(IF(B73='参数输入'!$B$8,D73,MIN(D73,ROUND('车辆输入'!$M$10/'参数输入'!$B$8,2))),2))</x:f>
        <x:v>0</x:v>
      </x:c>
      <x:c r="H73" s="136" t="n">
        <x:f>IF(OR(C73=0,'参数输入'!$B$9=0,B73&gt;'参数输入'!$B$9),0,ROUND(IF(B73='参数输入'!$B$9,E73,MIN(E73,ROUND('车辆输入'!$N$10/'参数输入'!$B$9,2))),2))</x:f>
        <x:v>0</x:v>
      </x:c>
      <x:c r="I73" s="136" t="n">
        <x:f>ROUND(G73+H73,2)</x:f>
        <x:v>0</x:v>
      </x:c>
      <x:c r="J73" s="137" t="n">
        <x:f>IF(C73=1,F73/SUMIFS($F$3:$F$122,$A$3:$A$122,A73,$C$3:$C$122,1),0)</x:f>
        <x:v>0</x:v>
      </x:c>
      <x:c r="K73" s="136" t="n">
        <x:f>IF(C73=1,ROUND('车辆输入'!$K$10+'车辆输入'!$L$10,2),0)</x:f>
        <x:v>0</x:v>
      </x:c>
      <x:c r="L73" s="136" t="n">
        <x:f>IF(C73=1,ROUND(('车辆输入'!$M$10+'车辆输入'!$N$10)*'参数输入'!$B$20,2),0)</x:f>
        <x:v>0</x:v>
      </x:c>
      <x:c r="M73" s="136" t="n">
        <x:f>IF(C73=0,0,ROUND(IF(B73='参数输入'!$B$8,K73-SUMIFS($M$3:$M$122,$A$3:$A$122,A73,$B$3:$B$122,"&lt;"&amp;B73),K73*J73),2))</x:f>
        <x:v>0</x:v>
      </x:c>
      <x:c r="N73" s="136" t="n">
        <x:f>IF(C73=0,0,ROUND(IF(B73='参数输入'!$B$8,L73-SUMIFS($N$3:$N$122,$A$3:$A$122,A73,$B$3:$B$122,"&lt;"&amp;B73),L73*J73),2))</x:f>
        <x:v>0</x:v>
      </x:c>
      <x:c r="O73" s="128" t="n">
        <x:v>0</x:v>
      </x:c>
      <x:c r="P73" s="136" t="n">
        <x:f>ROUND(I73+O73,2)</x:f>
        <x:v>0</x:v>
      </x:c>
      <x:c r="Q73" s="123" t="str">
        <x:f>IF(C73=0,"",IF(B73=1,'参数输入'!$B$10,EDATE('参数输入'!$B$24,B73-1)+1))</x:f>
      </x:c>
      <x:c r="R73" s="123" t="str">
        <x:f>IF(C73=0,"",EDATE('参数输入'!$B$24,B73))</x:f>
      </x:c>
    </x:row>
    <x:row r="74">
      <x:c r="A74" s="101" t="str">
        <x:v>V06</x:v>
      </x:c>
      <x:c r="B74" s="101" t="n">
        <x:v>12</x:v>
      </x:c>
      <x:c r="C74" s="101" t="n">
        <x:f>IF(AND(SUM('车辆输入'!$B$10:$F$10)&gt;0,B74&lt;='参数输入'!$B$8),1,0)</x:f>
        <x:v>0</x:v>
      </x:c>
      <x:c r="D74" s="136" t="n">
        <x:f>IF(C74=1,ROUND(MAX('车辆输入'!$M$10-ROUND('车辆输入'!$M$10/'参数输入'!$B$8,2)*(B74-1),0),2),0)</x:f>
        <x:v>0</x:v>
      </x:c>
      <x:c r="E74" s="136" t="n">
        <x:f>IF(AND(C74=1,B74&lt;='参数输入'!$B$9),ROUND(MAX('车辆输入'!$N$10-ROUND('车辆输入'!$N$10/MAX('参数输入'!$B$9,1),2)*(B74-1),0),2),0)</x:f>
        <x:v>0</x:v>
      </x:c>
      <x:c r="F74" s="136" t="n">
        <x:f>ROUND(D74+E74,2)</x:f>
        <x:v>0</x:v>
      </x:c>
      <x:c r="G74" s="136" t="n">
        <x:f>IF(C74=0,0,ROUND(IF(B74='参数输入'!$B$8,D74,MIN(D74,ROUND('车辆输入'!$M$10/'参数输入'!$B$8,2))),2))</x:f>
        <x:v>0</x:v>
      </x:c>
      <x:c r="H74" s="136" t="n">
        <x:f>IF(OR(C74=0,'参数输入'!$B$9=0,B74&gt;'参数输入'!$B$9),0,ROUND(IF(B74='参数输入'!$B$9,E74,MIN(E74,ROUND('车辆输入'!$N$10/'参数输入'!$B$9,2))),2))</x:f>
        <x:v>0</x:v>
      </x:c>
      <x:c r="I74" s="136" t="n">
        <x:f>ROUND(G74+H74,2)</x:f>
        <x:v>0</x:v>
      </x:c>
      <x:c r="J74" s="137" t="n">
        <x:f>IF(C74=1,F74/SUMIFS($F$3:$F$122,$A$3:$A$122,A74,$C$3:$C$122,1),0)</x:f>
        <x:v>0</x:v>
      </x:c>
      <x:c r="K74" s="136" t="n">
        <x:f>IF(C74=1,ROUND('车辆输入'!$K$10+'车辆输入'!$L$10,2),0)</x:f>
        <x:v>0</x:v>
      </x:c>
      <x:c r="L74" s="136" t="n">
        <x:f>IF(C74=1,ROUND(('车辆输入'!$M$10+'车辆输入'!$N$10)*'参数输入'!$B$20,2),0)</x:f>
        <x:v>0</x:v>
      </x:c>
      <x:c r="M74" s="136" t="n">
        <x:f>IF(C74=0,0,ROUND(IF(B74='参数输入'!$B$8,K74-SUMIFS($M$3:$M$122,$A$3:$A$122,A74,$B$3:$B$122,"&lt;"&amp;B74),K74*J74),2))</x:f>
        <x:v>0</x:v>
      </x:c>
      <x:c r="N74" s="136" t="n">
        <x:f>IF(C74=0,0,ROUND(IF(B74='参数输入'!$B$8,L74-SUMIFS($N$3:$N$122,$A$3:$A$122,A74,$B$3:$B$122,"&lt;"&amp;B74),L74*J74),2))</x:f>
        <x:v>0</x:v>
      </x:c>
      <x:c r="O74" s="128" t="n">
        <x:v>0</x:v>
      </x:c>
      <x:c r="P74" s="136" t="n">
        <x:f>ROUND(I74+O74,2)</x:f>
        <x:v>0</x:v>
      </x:c>
      <x:c r="Q74" s="123" t="str">
        <x:f>IF(C74=0,"",IF(B74=1,'参数输入'!$B$10,EDATE('参数输入'!$B$24,B74-1)+1))</x:f>
      </x:c>
      <x:c r="R74" s="123" t="str">
        <x:f>IF(C74=0,"",EDATE('参数输入'!$B$24,B74))</x:f>
      </x:c>
    </x:row>
    <x:row r="75">
      <x:c r="A75" s="101" t="str">
        <x:v>V07</x:v>
      </x:c>
      <x:c r="B75" s="101" t="n">
        <x:v>1</x:v>
      </x:c>
      <x:c r="C75" s="101" t="n">
        <x:f>IF(AND(SUM('车辆输入'!$B$11:$F$11)&gt;0,B75&lt;='参数输入'!$B$8),1,0)</x:f>
        <x:v>0</x:v>
      </x:c>
      <x:c r="D75" s="136" t="n">
        <x:f>IF(C75=1,ROUND(MAX('车辆输入'!$M$11-ROUND('车辆输入'!$M$11/'参数输入'!$B$8,2)*(B75-1),0),2),0)</x:f>
        <x:v>0</x:v>
      </x:c>
      <x:c r="E75" s="136" t="n">
        <x:f>IF(AND(C75=1,B75&lt;='参数输入'!$B$9),ROUND(MAX('车辆输入'!$N$11-ROUND('车辆输入'!$N$11/MAX('参数输入'!$B$9,1),2)*(B75-1),0),2),0)</x:f>
        <x:v>0</x:v>
      </x:c>
      <x:c r="F75" s="136" t="n">
        <x:f>ROUND(D75+E75,2)</x:f>
        <x:v>0</x:v>
      </x:c>
      <x:c r="G75" s="136" t="n">
        <x:f>IF(C75=0,0,ROUND(IF(B75='参数输入'!$B$8,D75,MIN(D75,ROUND('车辆输入'!$M$11/'参数输入'!$B$8,2))),2))</x:f>
        <x:v>0</x:v>
      </x:c>
      <x:c r="H75" s="136" t="n">
        <x:f>IF(OR(C75=0,'参数输入'!$B$9=0,B75&gt;'参数输入'!$B$9),0,ROUND(IF(B75='参数输入'!$B$9,E75,MIN(E75,ROUND('车辆输入'!$N$11/'参数输入'!$B$9,2))),2))</x:f>
        <x:v>0</x:v>
      </x:c>
      <x:c r="I75" s="136" t="n">
        <x:f>ROUND(G75+H75,2)</x:f>
        <x:v>0</x:v>
      </x:c>
      <x:c r="J75" s="137" t="n">
        <x:f>IF(C75=1,F75/SUMIFS($F$3:$F$122,$A$3:$A$122,A75,$C$3:$C$122,1),0)</x:f>
        <x:v>0</x:v>
      </x:c>
      <x:c r="K75" s="136" t="n">
        <x:f>IF(C75=1,ROUND('车辆输入'!$K$11+'车辆输入'!$L$11,2),0)</x:f>
        <x:v>0</x:v>
      </x:c>
      <x:c r="L75" s="136" t="n">
        <x:f>IF(C75=1,ROUND(('车辆输入'!$M$11+'车辆输入'!$N$11)*'参数输入'!$B$20,2),0)</x:f>
        <x:v>0</x:v>
      </x:c>
      <x:c r="M75" s="136" t="n">
        <x:f>IF(C75=0,0,ROUND(IF(B75='参数输入'!$B$8,K75-SUMIFS($M$3:$M$122,$A$3:$A$122,A75,$B$3:$B$122,"&lt;"&amp;B75),K75*J75),2))</x:f>
        <x:v>0</x:v>
      </x:c>
      <x:c r="N75" s="136" t="n">
        <x:f>IF(C75=0,0,ROUND(IF(B75='参数输入'!$B$8,L75-SUMIFS($N$3:$N$122,$A$3:$A$122,A75,$B$3:$B$122,"&lt;"&amp;B75),L75*J75),2))</x:f>
        <x:v>0</x:v>
      </x:c>
      <x:c r="O75" s="128" t="n">
        <x:v>0</x:v>
      </x:c>
      <x:c r="P75" s="136" t="n">
        <x:f>ROUND(I75+O75,2)</x:f>
        <x:v>0</x:v>
      </x:c>
      <x:c r="Q75" s="123" t="str">
        <x:f>IF(C75=0,"",IF(B75=1,'参数输入'!$B$10,EDATE('参数输入'!$B$24,B75-1)+1))</x:f>
      </x:c>
      <x:c r="R75" s="123" t="str">
        <x:f>IF(C75=0,"",EDATE('参数输入'!$B$24,B75))</x:f>
      </x:c>
    </x:row>
    <x:row r="76">
      <x:c r="A76" s="101" t="str">
        <x:v>V07</x:v>
      </x:c>
      <x:c r="B76" s="101" t="n">
        <x:v>2</x:v>
      </x:c>
      <x:c r="C76" s="101" t="n">
        <x:f>IF(AND(SUM('车辆输入'!$B$11:$F$11)&gt;0,B76&lt;='参数输入'!$B$8),1,0)</x:f>
        <x:v>0</x:v>
      </x:c>
      <x:c r="D76" s="136" t="n">
        <x:f>IF(C76=1,ROUND(MAX('车辆输入'!$M$11-ROUND('车辆输入'!$M$11/'参数输入'!$B$8,2)*(B76-1),0),2),0)</x:f>
        <x:v>0</x:v>
      </x:c>
      <x:c r="E76" s="136" t="n">
        <x:f>IF(AND(C76=1,B76&lt;='参数输入'!$B$9),ROUND(MAX('车辆输入'!$N$11-ROUND('车辆输入'!$N$11/MAX('参数输入'!$B$9,1),2)*(B76-1),0),2),0)</x:f>
        <x:v>0</x:v>
      </x:c>
      <x:c r="F76" s="136" t="n">
        <x:f>ROUND(D76+E76,2)</x:f>
        <x:v>0</x:v>
      </x:c>
      <x:c r="G76" s="136" t="n">
        <x:f>IF(C76=0,0,ROUND(IF(B76='参数输入'!$B$8,D76,MIN(D76,ROUND('车辆输入'!$M$11/'参数输入'!$B$8,2))),2))</x:f>
        <x:v>0</x:v>
      </x:c>
      <x:c r="H76" s="136" t="n">
        <x:f>IF(OR(C76=0,'参数输入'!$B$9=0,B76&gt;'参数输入'!$B$9),0,ROUND(IF(B76='参数输入'!$B$9,E76,MIN(E76,ROUND('车辆输入'!$N$11/'参数输入'!$B$9,2))),2))</x:f>
        <x:v>0</x:v>
      </x:c>
      <x:c r="I76" s="136" t="n">
        <x:f>ROUND(G76+H76,2)</x:f>
        <x:v>0</x:v>
      </x:c>
      <x:c r="J76" s="137" t="n">
        <x:f>IF(C76=1,F76/SUMIFS($F$3:$F$122,$A$3:$A$122,A76,$C$3:$C$122,1),0)</x:f>
        <x:v>0</x:v>
      </x:c>
      <x:c r="K76" s="136" t="n">
        <x:f>IF(C76=1,ROUND('车辆输入'!$K$11+'车辆输入'!$L$11,2),0)</x:f>
        <x:v>0</x:v>
      </x:c>
      <x:c r="L76" s="136" t="n">
        <x:f>IF(C76=1,ROUND(('车辆输入'!$M$11+'车辆输入'!$N$11)*'参数输入'!$B$20,2),0)</x:f>
        <x:v>0</x:v>
      </x:c>
      <x:c r="M76" s="136" t="n">
        <x:f>IF(C76=0,0,ROUND(IF(B76='参数输入'!$B$8,K76-SUMIFS($M$3:$M$122,$A$3:$A$122,A76,$B$3:$B$122,"&lt;"&amp;B76),K76*J76),2))</x:f>
        <x:v>0</x:v>
      </x:c>
      <x:c r="N76" s="136" t="n">
        <x:f>IF(C76=0,0,ROUND(IF(B76='参数输入'!$B$8,L76-SUMIFS($N$3:$N$122,$A$3:$A$122,A76,$B$3:$B$122,"&lt;"&amp;B76),L76*J76),2))</x:f>
        <x:v>0</x:v>
      </x:c>
      <x:c r="O76" s="128" t="n">
        <x:v>0</x:v>
      </x:c>
      <x:c r="P76" s="136" t="n">
        <x:f>ROUND(I76+O76,2)</x:f>
        <x:v>0</x:v>
      </x:c>
      <x:c r="Q76" s="123" t="str">
        <x:f>IF(C76=0,"",IF(B76=1,'参数输入'!$B$10,EDATE('参数输入'!$B$24,B76-1)+1))</x:f>
      </x:c>
      <x:c r="R76" s="123" t="str">
        <x:f>IF(C76=0,"",EDATE('参数输入'!$B$24,B76))</x:f>
      </x:c>
    </x:row>
    <x:row r="77">
      <x:c r="A77" s="101" t="str">
        <x:v>V07</x:v>
      </x:c>
      <x:c r="B77" s="101" t="n">
        <x:v>3</x:v>
      </x:c>
      <x:c r="C77" s="101" t="n">
        <x:f>IF(AND(SUM('车辆输入'!$B$11:$F$11)&gt;0,B77&lt;='参数输入'!$B$8),1,0)</x:f>
        <x:v>0</x:v>
      </x:c>
      <x:c r="D77" s="136" t="n">
        <x:f>IF(C77=1,ROUND(MAX('车辆输入'!$M$11-ROUND('车辆输入'!$M$11/'参数输入'!$B$8,2)*(B77-1),0),2),0)</x:f>
        <x:v>0</x:v>
      </x:c>
      <x:c r="E77" s="136" t="n">
        <x:f>IF(AND(C77=1,B77&lt;='参数输入'!$B$9),ROUND(MAX('车辆输入'!$N$11-ROUND('车辆输入'!$N$11/MAX('参数输入'!$B$9,1),2)*(B77-1),0),2),0)</x:f>
        <x:v>0</x:v>
      </x:c>
      <x:c r="F77" s="136" t="n">
        <x:f>ROUND(D77+E77,2)</x:f>
        <x:v>0</x:v>
      </x:c>
      <x:c r="G77" s="136" t="n">
        <x:f>IF(C77=0,0,ROUND(IF(B77='参数输入'!$B$8,D77,MIN(D77,ROUND('车辆输入'!$M$11/'参数输入'!$B$8,2))),2))</x:f>
        <x:v>0</x:v>
      </x:c>
      <x:c r="H77" s="136" t="n">
        <x:f>IF(OR(C77=0,'参数输入'!$B$9=0,B77&gt;'参数输入'!$B$9),0,ROUND(IF(B77='参数输入'!$B$9,E77,MIN(E77,ROUND('车辆输入'!$N$11/'参数输入'!$B$9,2))),2))</x:f>
        <x:v>0</x:v>
      </x:c>
      <x:c r="I77" s="136" t="n">
        <x:f>ROUND(G77+H77,2)</x:f>
        <x:v>0</x:v>
      </x:c>
      <x:c r="J77" s="137" t="n">
        <x:f>IF(C77=1,F77/SUMIFS($F$3:$F$122,$A$3:$A$122,A77,$C$3:$C$122,1),0)</x:f>
        <x:v>0</x:v>
      </x:c>
      <x:c r="K77" s="136" t="n">
        <x:f>IF(C77=1,ROUND('车辆输入'!$K$11+'车辆输入'!$L$11,2),0)</x:f>
        <x:v>0</x:v>
      </x:c>
      <x:c r="L77" s="136" t="n">
        <x:f>IF(C77=1,ROUND(('车辆输入'!$M$11+'车辆输入'!$N$11)*'参数输入'!$B$20,2),0)</x:f>
        <x:v>0</x:v>
      </x:c>
      <x:c r="M77" s="136" t="n">
        <x:f>IF(C77=0,0,ROUND(IF(B77='参数输入'!$B$8,K77-SUMIFS($M$3:$M$122,$A$3:$A$122,A77,$B$3:$B$122,"&lt;"&amp;B77),K77*J77),2))</x:f>
        <x:v>0</x:v>
      </x:c>
      <x:c r="N77" s="136" t="n">
        <x:f>IF(C77=0,0,ROUND(IF(B77='参数输入'!$B$8,L77-SUMIFS($N$3:$N$122,$A$3:$A$122,A77,$B$3:$B$122,"&lt;"&amp;B77),L77*J77),2))</x:f>
        <x:v>0</x:v>
      </x:c>
      <x:c r="O77" s="128" t="n">
        <x:v>0</x:v>
      </x:c>
      <x:c r="P77" s="136" t="n">
        <x:f>ROUND(I77+O77,2)</x:f>
        <x:v>0</x:v>
      </x:c>
      <x:c r="Q77" s="123" t="str">
        <x:f>IF(C77=0,"",IF(B77=1,'参数输入'!$B$10,EDATE('参数输入'!$B$24,B77-1)+1))</x:f>
      </x:c>
      <x:c r="R77" s="123" t="str">
        <x:f>IF(C77=0,"",EDATE('参数输入'!$B$24,B77))</x:f>
      </x:c>
    </x:row>
    <x:row r="78">
      <x:c r="A78" s="101" t="str">
        <x:v>V07</x:v>
      </x:c>
      <x:c r="B78" s="101" t="n">
        <x:v>4</x:v>
      </x:c>
      <x:c r="C78" s="101" t="n">
        <x:f>IF(AND(SUM('车辆输入'!$B$11:$F$11)&gt;0,B78&lt;='参数输入'!$B$8),1,0)</x:f>
        <x:v>0</x:v>
      </x:c>
      <x:c r="D78" s="136" t="n">
        <x:f>IF(C78=1,ROUND(MAX('车辆输入'!$M$11-ROUND('车辆输入'!$M$11/'参数输入'!$B$8,2)*(B78-1),0),2),0)</x:f>
        <x:v>0</x:v>
      </x:c>
      <x:c r="E78" s="136" t="n">
        <x:f>IF(AND(C78=1,B78&lt;='参数输入'!$B$9),ROUND(MAX('车辆输入'!$N$11-ROUND('车辆输入'!$N$11/MAX('参数输入'!$B$9,1),2)*(B78-1),0),2),0)</x:f>
        <x:v>0</x:v>
      </x:c>
      <x:c r="F78" s="136" t="n">
        <x:f>ROUND(D78+E78,2)</x:f>
        <x:v>0</x:v>
      </x:c>
      <x:c r="G78" s="136" t="n">
        <x:f>IF(C78=0,0,ROUND(IF(B78='参数输入'!$B$8,D78,MIN(D78,ROUND('车辆输入'!$M$11/'参数输入'!$B$8,2))),2))</x:f>
        <x:v>0</x:v>
      </x:c>
      <x:c r="H78" s="136" t="n">
        <x:f>IF(OR(C78=0,'参数输入'!$B$9=0,B78&gt;'参数输入'!$B$9),0,ROUND(IF(B78='参数输入'!$B$9,E78,MIN(E78,ROUND('车辆输入'!$N$11/'参数输入'!$B$9,2))),2))</x:f>
        <x:v>0</x:v>
      </x:c>
      <x:c r="I78" s="136" t="n">
        <x:f>ROUND(G78+H78,2)</x:f>
        <x:v>0</x:v>
      </x:c>
      <x:c r="J78" s="137" t="n">
        <x:f>IF(C78=1,F78/SUMIFS($F$3:$F$122,$A$3:$A$122,A78,$C$3:$C$122,1),0)</x:f>
        <x:v>0</x:v>
      </x:c>
      <x:c r="K78" s="136" t="n">
        <x:f>IF(C78=1,ROUND('车辆输入'!$K$11+'车辆输入'!$L$11,2),0)</x:f>
        <x:v>0</x:v>
      </x:c>
      <x:c r="L78" s="136" t="n">
        <x:f>IF(C78=1,ROUND(('车辆输入'!$M$11+'车辆输入'!$N$11)*'参数输入'!$B$20,2),0)</x:f>
        <x:v>0</x:v>
      </x:c>
      <x:c r="M78" s="136" t="n">
        <x:f>IF(C78=0,0,ROUND(IF(B78='参数输入'!$B$8,K78-SUMIFS($M$3:$M$122,$A$3:$A$122,A78,$B$3:$B$122,"&lt;"&amp;B78),K78*J78),2))</x:f>
        <x:v>0</x:v>
      </x:c>
      <x:c r="N78" s="136" t="n">
        <x:f>IF(C78=0,0,ROUND(IF(B78='参数输入'!$B$8,L78-SUMIFS($N$3:$N$122,$A$3:$A$122,A78,$B$3:$B$122,"&lt;"&amp;B78),L78*J78),2))</x:f>
        <x:v>0</x:v>
      </x:c>
      <x:c r="O78" s="128" t="n">
        <x:v>0</x:v>
      </x:c>
      <x:c r="P78" s="136" t="n">
        <x:f>ROUND(I78+O78,2)</x:f>
        <x:v>0</x:v>
      </x:c>
      <x:c r="Q78" s="123" t="str">
        <x:f>IF(C78=0,"",IF(B78=1,'参数输入'!$B$10,EDATE('参数输入'!$B$24,B78-1)+1))</x:f>
      </x:c>
      <x:c r="R78" s="123" t="str">
        <x:f>IF(C78=0,"",EDATE('参数输入'!$B$24,B78))</x:f>
      </x:c>
    </x:row>
    <x:row r="79">
      <x:c r="A79" s="101" t="str">
        <x:v>V07</x:v>
      </x:c>
      <x:c r="B79" s="101" t="n">
        <x:v>5</x:v>
      </x:c>
      <x:c r="C79" s="101" t="n">
        <x:f>IF(AND(SUM('车辆输入'!$B$11:$F$11)&gt;0,B79&lt;='参数输入'!$B$8),1,0)</x:f>
        <x:v>0</x:v>
      </x:c>
      <x:c r="D79" s="136" t="n">
        <x:f>IF(C79=1,ROUND(MAX('车辆输入'!$M$11-ROUND('车辆输入'!$M$11/'参数输入'!$B$8,2)*(B79-1),0),2),0)</x:f>
        <x:v>0</x:v>
      </x:c>
      <x:c r="E79" s="136" t="n">
        <x:f>IF(AND(C79=1,B79&lt;='参数输入'!$B$9),ROUND(MAX('车辆输入'!$N$11-ROUND('车辆输入'!$N$11/MAX('参数输入'!$B$9,1),2)*(B79-1),0),2),0)</x:f>
        <x:v>0</x:v>
      </x:c>
      <x:c r="F79" s="136" t="n">
        <x:f>ROUND(D79+E79,2)</x:f>
        <x:v>0</x:v>
      </x:c>
      <x:c r="G79" s="136" t="n">
        <x:f>IF(C79=0,0,ROUND(IF(B79='参数输入'!$B$8,D79,MIN(D79,ROUND('车辆输入'!$M$11/'参数输入'!$B$8,2))),2))</x:f>
        <x:v>0</x:v>
      </x:c>
      <x:c r="H79" s="136" t="n">
        <x:f>IF(OR(C79=0,'参数输入'!$B$9=0,B79&gt;'参数输入'!$B$9),0,ROUND(IF(B79='参数输入'!$B$9,E79,MIN(E79,ROUND('车辆输入'!$N$11/'参数输入'!$B$9,2))),2))</x:f>
        <x:v>0</x:v>
      </x:c>
      <x:c r="I79" s="136" t="n">
        <x:f>ROUND(G79+H79,2)</x:f>
        <x:v>0</x:v>
      </x:c>
      <x:c r="J79" s="137" t="n">
        <x:f>IF(C79=1,F79/SUMIFS($F$3:$F$122,$A$3:$A$122,A79,$C$3:$C$122,1),0)</x:f>
        <x:v>0</x:v>
      </x:c>
      <x:c r="K79" s="136" t="n">
        <x:f>IF(C79=1,ROUND('车辆输入'!$K$11+'车辆输入'!$L$11,2),0)</x:f>
        <x:v>0</x:v>
      </x:c>
      <x:c r="L79" s="136" t="n">
        <x:f>IF(C79=1,ROUND(('车辆输入'!$M$11+'车辆输入'!$N$11)*'参数输入'!$B$20,2),0)</x:f>
        <x:v>0</x:v>
      </x:c>
      <x:c r="M79" s="136" t="n">
        <x:f>IF(C79=0,0,ROUND(IF(B79='参数输入'!$B$8,K79-SUMIFS($M$3:$M$122,$A$3:$A$122,A79,$B$3:$B$122,"&lt;"&amp;B79),K79*J79),2))</x:f>
        <x:v>0</x:v>
      </x:c>
      <x:c r="N79" s="136" t="n">
        <x:f>IF(C79=0,0,ROUND(IF(B79='参数输入'!$B$8,L79-SUMIFS($N$3:$N$122,$A$3:$A$122,A79,$B$3:$B$122,"&lt;"&amp;B79),L79*J79),2))</x:f>
        <x:v>0</x:v>
      </x:c>
      <x:c r="O79" s="128" t="n">
        <x:v>0</x:v>
      </x:c>
      <x:c r="P79" s="136" t="n">
        <x:f>ROUND(I79+O79,2)</x:f>
        <x:v>0</x:v>
      </x:c>
      <x:c r="Q79" s="123" t="str">
        <x:f>IF(C79=0,"",IF(B79=1,'参数输入'!$B$10,EDATE('参数输入'!$B$24,B79-1)+1))</x:f>
      </x:c>
      <x:c r="R79" s="123" t="str">
        <x:f>IF(C79=0,"",EDATE('参数输入'!$B$24,B79))</x:f>
      </x:c>
    </x:row>
    <x:row r="80">
      <x:c r="A80" s="101" t="str">
        <x:v>V07</x:v>
      </x:c>
      <x:c r="B80" s="101" t="n">
        <x:v>6</x:v>
      </x:c>
      <x:c r="C80" s="101" t="n">
        <x:f>IF(AND(SUM('车辆输入'!$B$11:$F$11)&gt;0,B80&lt;='参数输入'!$B$8),1,0)</x:f>
        <x:v>0</x:v>
      </x:c>
      <x:c r="D80" s="136" t="n">
        <x:f>IF(C80=1,ROUND(MAX('车辆输入'!$M$11-ROUND('车辆输入'!$M$11/'参数输入'!$B$8,2)*(B80-1),0),2),0)</x:f>
        <x:v>0</x:v>
      </x:c>
      <x:c r="E80" s="136" t="n">
        <x:f>IF(AND(C80=1,B80&lt;='参数输入'!$B$9),ROUND(MAX('车辆输入'!$N$11-ROUND('车辆输入'!$N$11/MAX('参数输入'!$B$9,1),2)*(B80-1),0),2),0)</x:f>
        <x:v>0</x:v>
      </x:c>
      <x:c r="F80" s="136" t="n">
        <x:f>ROUND(D80+E80,2)</x:f>
        <x:v>0</x:v>
      </x:c>
      <x:c r="G80" s="136" t="n">
        <x:f>IF(C80=0,0,ROUND(IF(B80='参数输入'!$B$8,D80,MIN(D80,ROUND('车辆输入'!$M$11/'参数输入'!$B$8,2))),2))</x:f>
        <x:v>0</x:v>
      </x:c>
      <x:c r="H80" s="136" t="n">
        <x:f>IF(OR(C80=0,'参数输入'!$B$9=0,B80&gt;'参数输入'!$B$9),0,ROUND(IF(B80='参数输入'!$B$9,E80,MIN(E80,ROUND('车辆输入'!$N$11/'参数输入'!$B$9,2))),2))</x:f>
        <x:v>0</x:v>
      </x:c>
      <x:c r="I80" s="136" t="n">
        <x:f>ROUND(G80+H80,2)</x:f>
        <x:v>0</x:v>
      </x:c>
      <x:c r="J80" s="137" t="n">
        <x:f>IF(C80=1,F80/SUMIFS($F$3:$F$122,$A$3:$A$122,A80,$C$3:$C$122,1),0)</x:f>
        <x:v>0</x:v>
      </x:c>
      <x:c r="K80" s="136" t="n">
        <x:f>IF(C80=1,ROUND('车辆输入'!$K$11+'车辆输入'!$L$11,2),0)</x:f>
        <x:v>0</x:v>
      </x:c>
      <x:c r="L80" s="136" t="n">
        <x:f>IF(C80=1,ROUND(('车辆输入'!$M$11+'车辆输入'!$N$11)*'参数输入'!$B$20,2),0)</x:f>
        <x:v>0</x:v>
      </x:c>
      <x:c r="M80" s="136" t="n">
        <x:f>IF(C80=0,0,ROUND(IF(B80='参数输入'!$B$8,K80-SUMIFS($M$3:$M$122,$A$3:$A$122,A80,$B$3:$B$122,"&lt;"&amp;B80),K80*J80),2))</x:f>
        <x:v>0</x:v>
      </x:c>
      <x:c r="N80" s="136" t="n">
        <x:f>IF(C80=0,0,ROUND(IF(B80='参数输入'!$B$8,L80-SUMIFS($N$3:$N$122,$A$3:$A$122,A80,$B$3:$B$122,"&lt;"&amp;B80),L80*J80),2))</x:f>
        <x:v>0</x:v>
      </x:c>
      <x:c r="O80" s="128" t="n">
        <x:v>0</x:v>
      </x:c>
      <x:c r="P80" s="136" t="n">
        <x:f>ROUND(I80+O80,2)</x:f>
        <x:v>0</x:v>
      </x:c>
      <x:c r="Q80" s="123" t="str">
        <x:f>IF(C80=0,"",IF(B80=1,'参数输入'!$B$10,EDATE('参数输入'!$B$24,B80-1)+1))</x:f>
      </x:c>
      <x:c r="R80" s="123" t="str">
        <x:f>IF(C80=0,"",EDATE('参数输入'!$B$24,B80))</x:f>
      </x:c>
    </x:row>
    <x:row r="81">
      <x:c r="A81" s="101" t="str">
        <x:v>V07</x:v>
      </x:c>
      <x:c r="B81" s="101" t="n">
        <x:v>7</x:v>
      </x:c>
      <x:c r="C81" s="101" t="n">
        <x:f>IF(AND(SUM('车辆输入'!$B$11:$F$11)&gt;0,B81&lt;='参数输入'!$B$8),1,0)</x:f>
        <x:v>0</x:v>
      </x:c>
      <x:c r="D81" s="136" t="n">
        <x:f>IF(C81=1,ROUND(MAX('车辆输入'!$M$11-ROUND('车辆输入'!$M$11/'参数输入'!$B$8,2)*(B81-1),0),2),0)</x:f>
        <x:v>0</x:v>
      </x:c>
      <x:c r="E81" s="136" t="n">
        <x:f>IF(AND(C81=1,B81&lt;='参数输入'!$B$9),ROUND(MAX('车辆输入'!$N$11-ROUND('车辆输入'!$N$11/MAX('参数输入'!$B$9,1),2)*(B81-1),0),2),0)</x:f>
        <x:v>0</x:v>
      </x:c>
      <x:c r="F81" s="136" t="n">
        <x:f>ROUND(D81+E81,2)</x:f>
        <x:v>0</x:v>
      </x:c>
      <x:c r="G81" s="136" t="n">
        <x:f>IF(C81=0,0,ROUND(IF(B81='参数输入'!$B$8,D81,MIN(D81,ROUND('车辆输入'!$M$11/'参数输入'!$B$8,2))),2))</x:f>
        <x:v>0</x:v>
      </x:c>
      <x:c r="H81" s="136" t="n">
        <x:f>IF(OR(C81=0,'参数输入'!$B$9=0,B81&gt;'参数输入'!$B$9),0,ROUND(IF(B81='参数输入'!$B$9,E81,MIN(E81,ROUND('车辆输入'!$N$11/'参数输入'!$B$9,2))),2))</x:f>
        <x:v>0</x:v>
      </x:c>
      <x:c r="I81" s="136" t="n">
        <x:f>ROUND(G81+H81,2)</x:f>
        <x:v>0</x:v>
      </x:c>
      <x:c r="J81" s="137" t="n">
        <x:f>IF(C81=1,F81/SUMIFS($F$3:$F$122,$A$3:$A$122,A81,$C$3:$C$122,1),0)</x:f>
        <x:v>0</x:v>
      </x:c>
      <x:c r="K81" s="136" t="n">
        <x:f>IF(C81=1,ROUND('车辆输入'!$K$11+'车辆输入'!$L$11,2),0)</x:f>
        <x:v>0</x:v>
      </x:c>
      <x:c r="L81" s="136" t="n">
        <x:f>IF(C81=1,ROUND(('车辆输入'!$M$11+'车辆输入'!$N$11)*'参数输入'!$B$20,2),0)</x:f>
        <x:v>0</x:v>
      </x:c>
      <x:c r="M81" s="136" t="n">
        <x:f>IF(C81=0,0,ROUND(IF(B81='参数输入'!$B$8,K81-SUMIFS($M$3:$M$122,$A$3:$A$122,A81,$B$3:$B$122,"&lt;"&amp;B81),K81*J81),2))</x:f>
        <x:v>0</x:v>
      </x:c>
      <x:c r="N81" s="136" t="n">
        <x:f>IF(C81=0,0,ROUND(IF(B81='参数输入'!$B$8,L81-SUMIFS($N$3:$N$122,$A$3:$A$122,A81,$B$3:$B$122,"&lt;"&amp;B81),L81*J81),2))</x:f>
        <x:v>0</x:v>
      </x:c>
      <x:c r="O81" s="128" t="n">
        <x:v>0</x:v>
      </x:c>
      <x:c r="P81" s="136" t="n">
        <x:f>ROUND(I81+O81,2)</x:f>
        <x:v>0</x:v>
      </x:c>
      <x:c r="Q81" s="123" t="str">
        <x:f>IF(C81=0,"",IF(B81=1,'参数输入'!$B$10,EDATE('参数输入'!$B$24,B81-1)+1))</x:f>
      </x:c>
      <x:c r="R81" s="123" t="str">
        <x:f>IF(C81=0,"",EDATE('参数输入'!$B$24,B81))</x:f>
      </x:c>
    </x:row>
    <x:row r="82">
      <x:c r="A82" s="101" t="str">
        <x:v>V07</x:v>
      </x:c>
      <x:c r="B82" s="101" t="n">
        <x:v>8</x:v>
      </x:c>
      <x:c r="C82" s="101" t="n">
        <x:f>IF(AND(SUM('车辆输入'!$B$11:$F$11)&gt;0,B82&lt;='参数输入'!$B$8),1,0)</x:f>
        <x:v>0</x:v>
      </x:c>
      <x:c r="D82" s="136" t="n">
        <x:f>IF(C82=1,ROUND(MAX('车辆输入'!$M$11-ROUND('车辆输入'!$M$11/'参数输入'!$B$8,2)*(B82-1),0),2),0)</x:f>
        <x:v>0</x:v>
      </x:c>
      <x:c r="E82" s="136" t="n">
        <x:f>IF(AND(C82=1,B82&lt;='参数输入'!$B$9),ROUND(MAX('车辆输入'!$N$11-ROUND('车辆输入'!$N$11/MAX('参数输入'!$B$9,1),2)*(B82-1),0),2),0)</x:f>
        <x:v>0</x:v>
      </x:c>
      <x:c r="F82" s="136" t="n">
        <x:f>ROUND(D82+E82,2)</x:f>
        <x:v>0</x:v>
      </x:c>
      <x:c r="G82" s="136" t="n">
        <x:f>IF(C82=0,0,ROUND(IF(B82='参数输入'!$B$8,D82,MIN(D82,ROUND('车辆输入'!$M$11/'参数输入'!$B$8,2))),2))</x:f>
        <x:v>0</x:v>
      </x:c>
      <x:c r="H82" s="136" t="n">
        <x:f>IF(OR(C82=0,'参数输入'!$B$9=0,B82&gt;'参数输入'!$B$9),0,ROUND(IF(B82='参数输入'!$B$9,E82,MIN(E82,ROUND('车辆输入'!$N$11/'参数输入'!$B$9,2))),2))</x:f>
        <x:v>0</x:v>
      </x:c>
      <x:c r="I82" s="136" t="n">
        <x:f>ROUND(G82+H82,2)</x:f>
        <x:v>0</x:v>
      </x:c>
      <x:c r="J82" s="137" t="n">
        <x:f>IF(C82=1,F82/SUMIFS($F$3:$F$122,$A$3:$A$122,A82,$C$3:$C$122,1),0)</x:f>
        <x:v>0</x:v>
      </x:c>
      <x:c r="K82" s="136" t="n">
        <x:f>IF(C82=1,ROUND('车辆输入'!$K$11+'车辆输入'!$L$11,2),0)</x:f>
        <x:v>0</x:v>
      </x:c>
      <x:c r="L82" s="136" t="n">
        <x:f>IF(C82=1,ROUND(('车辆输入'!$M$11+'车辆输入'!$N$11)*'参数输入'!$B$20,2),0)</x:f>
        <x:v>0</x:v>
      </x:c>
      <x:c r="M82" s="136" t="n">
        <x:f>IF(C82=0,0,ROUND(IF(B82='参数输入'!$B$8,K82-SUMIFS($M$3:$M$122,$A$3:$A$122,A82,$B$3:$B$122,"&lt;"&amp;B82),K82*J82),2))</x:f>
        <x:v>0</x:v>
      </x:c>
      <x:c r="N82" s="136" t="n">
        <x:f>IF(C82=0,0,ROUND(IF(B82='参数输入'!$B$8,L82-SUMIFS($N$3:$N$122,$A$3:$A$122,A82,$B$3:$B$122,"&lt;"&amp;B82),L82*J82),2))</x:f>
        <x:v>0</x:v>
      </x:c>
      <x:c r="O82" s="128" t="n">
        <x:v>0</x:v>
      </x:c>
      <x:c r="P82" s="136" t="n">
        <x:f>ROUND(I82+O82,2)</x:f>
        <x:v>0</x:v>
      </x:c>
      <x:c r="Q82" s="123" t="str">
        <x:f>IF(C82=0,"",IF(B82=1,'参数输入'!$B$10,EDATE('参数输入'!$B$24,B82-1)+1))</x:f>
      </x:c>
      <x:c r="R82" s="123" t="str">
        <x:f>IF(C82=0,"",EDATE('参数输入'!$B$24,B82))</x:f>
      </x:c>
    </x:row>
    <x:row r="83">
      <x:c r="A83" s="101" t="str">
        <x:v>V07</x:v>
      </x:c>
      <x:c r="B83" s="101" t="n">
        <x:v>9</x:v>
      </x:c>
      <x:c r="C83" s="101" t="n">
        <x:f>IF(AND(SUM('车辆输入'!$B$11:$F$11)&gt;0,B83&lt;='参数输入'!$B$8),1,0)</x:f>
        <x:v>0</x:v>
      </x:c>
      <x:c r="D83" s="136" t="n">
        <x:f>IF(C83=1,ROUND(MAX('车辆输入'!$M$11-ROUND('车辆输入'!$M$11/'参数输入'!$B$8,2)*(B83-1),0),2),0)</x:f>
        <x:v>0</x:v>
      </x:c>
      <x:c r="E83" s="136" t="n">
        <x:f>IF(AND(C83=1,B83&lt;='参数输入'!$B$9),ROUND(MAX('车辆输入'!$N$11-ROUND('车辆输入'!$N$11/MAX('参数输入'!$B$9,1),2)*(B83-1),0),2),0)</x:f>
        <x:v>0</x:v>
      </x:c>
      <x:c r="F83" s="136" t="n">
        <x:f>ROUND(D83+E83,2)</x:f>
        <x:v>0</x:v>
      </x:c>
      <x:c r="G83" s="136" t="n">
        <x:f>IF(C83=0,0,ROUND(IF(B83='参数输入'!$B$8,D83,MIN(D83,ROUND('车辆输入'!$M$11/'参数输入'!$B$8,2))),2))</x:f>
        <x:v>0</x:v>
      </x:c>
      <x:c r="H83" s="136" t="n">
        <x:f>IF(OR(C83=0,'参数输入'!$B$9=0,B83&gt;'参数输入'!$B$9),0,ROUND(IF(B83='参数输入'!$B$9,E83,MIN(E83,ROUND('车辆输入'!$N$11/'参数输入'!$B$9,2))),2))</x:f>
        <x:v>0</x:v>
      </x:c>
      <x:c r="I83" s="136" t="n">
        <x:f>ROUND(G83+H83,2)</x:f>
        <x:v>0</x:v>
      </x:c>
      <x:c r="J83" s="137" t="n">
        <x:f>IF(C83=1,F83/SUMIFS($F$3:$F$122,$A$3:$A$122,A83,$C$3:$C$122,1),0)</x:f>
        <x:v>0</x:v>
      </x:c>
      <x:c r="K83" s="136" t="n">
        <x:f>IF(C83=1,ROUND('车辆输入'!$K$11+'车辆输入'!$L$11,2),0)</x:f>
        <x:v>0</x:v>
      </x:c>
      <x:c r="L83" s="136" t="n">
        <x:f>IF(C83=1,ROUND(('车辆输入'!$M$11+'车辆输入'!$N$11)*'参数输入'!$B$20,2),0)</x:f>
        <x:v>0</x:v>
      </x:c>
      <x:c r="M83" s="136" t="n">
        <x:f>IF(C83=0,0,ROUND(IF(B83='参数输入'!$B$8,K83-SUMIFS($M$3:$M$122,$A$3:$A$122,A83,$B$3:$B$122,"&lt;"&amp;B83),K83*J83),2))</x:f>
        <x:v>0</x:v>
      </x:c>
      <x:c r="N83" s="136" t="n">
        <x:f>IF(C83=0,0,ROUND(IF(B83='参数输入'!$B$8,L83-SUMIFS($N$3:$N$122,$A$3:$A$122,A83,$B$3:$B$122,"&lt;"&amp;B83),L83*J83),2))</x:f>
        <x:v>0</x:v>
      </x:c>
      <x:c r="O83" s="128" t="n">
        <x:v>0</x:v>
      </x:c>
      <x:c r="P83" s="136" t="n">
        <x:f>ROUND(I83+O83,2)</x:f>
        <x:v>0</x:v>
      </x:c>
      <x:c r="Q83" s="123" t="str">
        <x:f>IF(C83=0,"",IF(B83=1,'参数输入'!$B$10,EDATE('参数输入'!$B$24,B83-1)+1))</x:f>
      </x:c>
      <x:c r="R83" s="123" t="str">
        <x:f>IF(C83=0,"",EDATE('参数输入'!$B$24,B83))</x:f>
      </x:c>
    </x:row>
    <x:row r="84">
      <x:c r="A84" s="101" t="str">
        <x:v>V07</x:v>
      </x:c>
      <x:c r="B84" s="101" t="n">
        <x:v>10</x:v>
      </x:c>
      <x:c r="C84" s="101" t="n">
        <x:f>IF(AND(SUM('车辆输入'!$B$11:$F$11)&gt;0,B84&lt;='参数输入'!$B$8),1,0)</x:f>
        <x:v>0</x:v>
      </x:c>
      <x:c r="D84" s="136" t="n">
        <x:f>IF(C84=1,ROUND(MAX('车辆输入'!$M$11-ROUND('车辆输入'!$M$11/'参数输入'!$B$8,2)*(B84-1),0),2),0)</x:f>
        <x:v>0</x:v>
      </x:c>
      <x:c r="E84" s="136" t="n">
        <x:f>IF(AND(C84=1,B84&lt;='参数输入'!$B$9),ROUND(MAX('车辆输入'!$N$11-ROUND('车辆输入'!$N$11/MAX('参数输入'!$B$9,1),2)*(B84-1),0),2),0)</x:f>
        <x:v>0</x:v>
      </x:c>
      <x:c r="F84" s="136" t="n">
        <x:f>ROUND(D84+E84,2)</x:f>
        <x:v>0</x:v>
      </x:c>
      <x:c r="G84" s="136" t="n">
        <x:f>IF(C84=0,0,ROUND(IF(B84='参数输入'!$B$8,D84,MIN(D84,ROUND('车辆输入'!$M$11/'参数输入'!$B$8,2))),2))</x:f>
        <x:v>0</x:v>
      </x:c>
      <x:c r="H84" s="136" t="n">
        <x:f>IF(OR(C84=0,'参数输入'!$B$9=0,B84&gt;'参数输入'!$B$9),0,ROUND(IF(B84='参数输入'!$B$9,E84,MIN(E84,ROUND('车辆输入'!$N$11/'参数输入'!$B$9,2))),2))</x:f>
        <x:v>0</x:v>
      </x:c>
      <x:c r="I84" s="136" t="n">
        <x:f>ROUND(G84+H84,2)</x:f>
        <x:v>0</x:v>
      </x:c>
      <x:c r="J84" s="137" t="n">
        <x:f>IF(C84=1,F84/SUMIFS($F$3:$F$122,$A$3:$A$122,A84,$C$3:$C$122,1),0)</x:f>
        <x:v>0</x:v>
      </x:c>
      <x:c r="K84" s="136" t="n">
        <x:f>IF(C84=1,ROUND('车辆输入'!$K$11+'车辆输入'!$L$11,2),0)</x:f>
        <x:v>0</x:v>
      </x:c>
      <x:c r="L84" s="136" t="n">
        <x:f>IF(C84=1,ROUND(('车辆输入'!$M$11+'车辆输入'!$N$11)*'参数输入'!$B$20,2),0)</x:f>
        <x:v>0</x:v>
      </x:c>
      <x:c r="M84" s="136" t="n">
        <x:f>IF(C84=0,0,ROUND(IF(B84='参数输入'!$B$8,K84-SUMIFS($M$3:$M$122,$A$3:$A$122,A84,$B$3:$B$122,"&lt;"&amp;B84),K84*J84),2))</x:f>
        <x:v>0</x:v>
      </x:c>
      <x:c r="N84" s="136" t="n">
        <x:f>IF(C84=0,0,ROUND(IF(B84='参数输入'!$B$8,L84-SUMIFS($N$3:$N$122,$A$3:$A$122,A84,$B$3:$B$122,"&lt;"&amp;B84),L84*J84),2))</x:f>
        <x:v>0</x:v>
      </x:c>
      <x:c r="O84" s="128" t="n">
        <x:v>0</x:v>
      </x:c>
      <x:c r="P84" s="136" t="n">
        <x:f>ROUND(I84+O84,2)</x:f>
        <x:v>0</x:v>
      </x:c>
      <x:c r="Q84" s="123" t="str">
        <x:f>IF(C84=0,"",IF(B84=1,'参数输入'!$B$10,EDATE('参数输入'!$B$24,B84-1)+1))</x:f>
      </x:c>
      <x:c r="R84" s="123" t="str">
        <x:f>IF(C84=0,"",EDATE('参数输入'!$B$24,B84))</x:f>
      </x:c>
    </x:row>
    <x:row r="85">
      <x:c r="A85" s="101" t="str">
        <x:v>V07</x:v>
      </x:c>
      <x:c r="B85" s="101" t="n">
        <x:v>11</x:v>
      </x:c>
      <x:c r="C85" s="101" t="n">
        <x:f>IF(AND(SUM('车辆输入'!$B$11:$F$11)&gt;0,B85&lt;='参数输入'!$B$8),1,0)</x:f>
        <x:v>0</x:v>
      </x:c>
      <x:c r="D85" s="136" t="n">
        <x:f>IF(C85=1,ROUND(MAX('车辆输入'!$M$11-ROUND('车辆输入'!$M$11/'参数输入'!$B$8,2)*(B85-1),0),2),0)</x:f>
        <x:v>0</x:v>
      </x:c>
      <x:c r="E85" s="136" t="n">
        <x:f>IF(AND(C85=1,B85&lt;='参数输入'!$B$9),ROUND(MAX('车辆输入'!$N$11-ROUND('车辆输入'!$N$11/MAX('参数输入'!$B$9,1),2)*(B85-1),0),2),0)</x:f>
        <x:v>0</x:v>
      </x:c>
      <x:c r="F85" s="136" t="n">
        <x:f>ROUND(D85+E85,2)</x:f>
        <x:v>0</x:v>
      </x:c>
      <x:c r="G85" s="136" t="n">
        <x:f>IF(C85=0,0,ROUND(IF(B85='参数输入'!$B$8,D85,MIN(D85,ROUND('车辆输入'!$M$11/'参数输入'!$B$8,2))),2))</x:f>
        <x:v>0</x:v>
      </x:c>
      <x:c r="H85" s="136" t="n">
        <x:f>IF(OR(C85=0,'参数输入'!$B$9=0,B85&gt;'参数输入'!$B$9),0,ROUND(IF(B85='参数输入'!$B$9,E85,MIN(E85,ROUND('车辆输入'!$N$11/'参数输入'!$B$9,2))),2))</x:f>
        <x:v>0</x:v>
      </x:c>
      <x:c r="I85" s="136" t="n">
        <x:f>ROUND(G85+H85,2)</x:f>
        <x:v>0</x:v>
      </x:c>
      <x:c r="J85" s="137" t="n">
        <x:f>IF(C85=1,F85/SUMIFS($F$3:$F$122,$A$3:$A$122,A85,$C$3:$C$122,1),0)</x:f>
        <x:v>0</x:v>
      </x:c>
      <x:c r="K85" s="136" t="n">
        <x:f>IF(C85=1,ROUND('车辆输入'!$K$11+'车辆输入'!$L$11,2),0)</x:f>
        <x:v>0</x:v>
      </x:c>
      <x:c r="L85" s="136" t="n">
        <x:f>IF(C85=1,ROUND(('车辆输入'!$M$11+'车辆输入'!$N$11)*'参数输入'!$B$20,2),0)</x:f>
        <x:v>0</x:v>
      </x:c>
      <x:c r="M85" s="136" t="n">
        <x:f>IF(C85=0,0,ROUND(IF(B85='参数输入'!$B$8,K85-SUMIFS($M$3:$M$122,$A$3:$A$122,A85,$B$3:$B$122,"&lt;"&amp;B85),K85*J85),2))</x:f>
        <x:v>0</x:v>
      </x:c>
      <x:c r="N85" s="136" t="n">
        <x:f>IF(C85=0,0,ROUND(IF(B85='参数输入'!$B$8,L85-SUMIFS($N$3:$N$122,$A$3:$A$122,A85,$B$3:$B$122,"&lt;"&amp;B85),L85*J85),2))</x:f>
        <x:v>0</x:v>
      </x:c>
      <x:c r="O85" s="128" t="n">
        <x:v>0</x:v>
      </x:c>
      <x:c r="P85" s="136" t="n">
        <x:f>ROUND(I85+O85,2)</x:f>
        <x:v>0</x:v>
      </x:c>
      <x:c r="Q85" s="123" t="str">
        <x:f>IF(C85=0,"",IF(B85=1,'参数输入'!$B$10,EDATE('参数输入'!$B$24,B85-1)+1))</x:f>
      </x:c>
      <x:c r="R85" s="123" t="str">
        <x:f>IF(C85=0,"",EDATE('参数输入'!$B$24,B85))</x:f>
      </x:c>
    </x:row>
    <x:row r="86">
      <x:c r="A86" s="101" t="str">
        <x:v>V07</x:v>
      </x:c>
      <x:c r="B86" s="101" t="n">
        <x:v>12</x:v>
      </x:c>
      <x:c r="C86" s="101" t="n">
        <x:f>IF(AND(SUM('车辆输入'!$B$11:$F$11)&gt;0,B86&lt;='参数输入'!$B$8),1,0)</x:f>
        <x:v>0</x:v>
      </x:c>
      <x:c r="D86" s="136" t="n">
        <x:f>IF(C86=1,ROUND(MAX('车辆输入'!$M$11-ROUND('车辆输入'!$M$11/'参数输入'!$B$8,2)*(B86-1),0),2),0)</x:f>
        <x:v>0</x:v>
      </x:c>
      <x:c r="E86" s="136" t="n">
        <x:f>IF(AND(C86=1,B86&lt;='参数输入'!$B$9),ROUND(MAX('车辆输入'!$N$11-ROUND('车辆输入'!$N$11/MAX('参数输入'!$B$9,1),2)*(B86-1),0),2),0)</x:f>
        <x:v>0</x:v>
      </x:c>
      <x:c r="F86" s="136" t="n">
        <x:f>ROUND(D86+E86,2)</x:f>
        <x:v>0</x:v>
      </x:c>
      <x:c r="G86" s="136" t="n">
        <x:f>IF(C86=0,0,ROUND(IF(B86='参数输入'!$B$8,D86,MIN(D86,ROUND('车辆输入'!$M$11/'参数输入'!$B$8,2))),2))</x:f>
        <x:v>0</x:v>
      </x:c>
      <x:c r="H86" s="136" t="n">
        <x:f>IF(OR(C86=0,'参数输入'!$B$9=0,B86&gt;'参数输入'!$B$9),0,ROUND(IF(B86='参数输入'!$B$9,E86,MIN(E86,ROUND('车辆输入'!$N$11/'参数输入'!$B$9,2))),2))</x:f>
        <x:v>0</x:v>
      </x:c>
      <x:c r="I86" s="136" t="n">
        <x:f>ROUND(G86+H86,2)</x:f>
        <x:v>0</x:v>
      </x:c>
      <x:c r="J86" s="137" t="n">
        <x:f>IF(C86=1,F86/SUMIFS($F$3:$F$122,$A$3:$A$122,A86,$C$3:$C$122,1),0)</x:f>
        <x:v>0</x:v>
      </x:c>
      <x:c r="K86" s="136" t="n">
        <x:f>IF(C86=1,ROUND('车辆输入'!$K$11+'车辆输入'!$L$11,2),0)</x:f>
        <x:v>0</x:v>
      </x:c>
      <x:c r="L86" s="136" t="n">
        <x:f>IF(C86=1,ROUND(('车辆输入'!$M$11+'车辆输入'!$N$11)*'参数输入'!$B$20,2),0)</x:f>
        <x:v>0</x:v>
      </x:c>
      <x:c r="M86" s="136" t="n">
        <x:f>IF(C86=0,0,ROUND(IF(B86='参数输入'!$B$8,K86-SUMIFS($M$3:$M$122,$A$3:$A$122,A86,$B$3:$B$122,"&lt;"&amp;B86),K86*J86),2))</x:f>
        <x:v>0</x:v>
      </x:c>
      <x:c r="N86" s="136" t="n">
        <x:f>IF(C86=0,0,ROUND(IF(B86='参数输入'!$B$8,L86-SUMIFS($N$3:$N$122,$A$3:$A$122,A86,$B$3:$B$122,"&lt;"&amp;B86),L86*J86),2))</x:f>
        <x:v>0</x:v>
      </x:c>
      <x:c r="O86" s="128" t="n">
        <x:v>0</x:v>
      </x:c>
      <x:c r="P86" s="136" t="n">
        <x:f>ROUND(I86+O86,2)</x:f>
        <x:v>0</x:v>
      </x:c>
      <x:c r="Q86" s="123" t="str">
        <x:f>IF(C86=0,"",IF(B86=1,'参数输入'!$B$10,EDATE('参数输入'!$B$24,B86-1)+1))</x:f>
      </x:c>
      <x:c r="R86" s="123" t="str">
        <x:f>IF(C86=0,"",EDATE('参数输入'!$B$24,B86))</x:f>
      </x:c>
    </x:row>
    <x:row r="87">
      <x:c r="A87" s="101" t="str">
        <x:v>V08</x:v>
      </x:c>
      <x:c r="B87" s="101" t="n">
        <x:v>1</x:v>
      </x:c>
      <x:c r="C87" s="101" t="n">
        <x:f>IF(AND(SUM('车辆输入'!$B$12:$F$12)&gt;0,B87&lt;='参数输入'!$B$8),1,0)</x:f>
        <x:v>0</x:v>
      </x:c>
      <x:c r="D87" s="136" t="n">
        <x:f>IF(C87=1,ROUND(MAX('车辆输入'!$M$12-ROUND('车辆输入'!$M$12/'参数输入'!$B$8,2)*(B87-1),0),2),0)</x:f>
        <x:v>0</x:v>
      </x:c>
      <x:c r="E87" s="136" t="n">
        <x:f>IF(AND(C87=1,B87&lt;='参数输入'!$B$9),ROUND(MAX('车辆输入'!$N$12-ROUND('车辆输入'!$N$12/MAX('参数输入'!$B$9,1),2)*(B87-1),0),2),0)</x:f>
        <x:v>0</x:v>
      </x:c>
      <x:c r="F87" s="136" t="n">
        <x:f>ROUND(D87+E87,2)</x:f>
        <x:v>0</x:v>
      </x:c>
      <x:c r="G87" s="136" t="n">
        <x:f>IF(C87=0,0,ROUND(IF(B87='参数输入'!$B$8,D87,MIN(D87,ROUND('车辆输入'!$M$12/'参数输入'!$B$8,2))),2))</x:f>
        <x:v>0</x:v>
      </x:c>
      <x:c r="H87" s="136" t="n">
        <x:f>IF(OR(C87=0,'参数输入'!$B$9=0,B87&gt;'参数输入'!$B$9),0,ROUND(IF(B87='参数输入'!$B$9,E87,MIN(E87,ROUND('车辆输入'!$N$12/'参数输入'!$B$9,2))),2))</x:f>
        <x:v>0</x:v>
      </x:c>
      <x:c r="I87" s="136" t="n">
        <x:f>ROUND(G87+H87,2)</x:f>
        <x:v>0</x:v>
      </x:c>
      <x:c r="J87" s="137" t="n">
        <x:f>IF(C87=1,F87/SUMIFS($F$3:$F$122,$A$3:$A$122,A87,$C$3:$C$122,1),0)</x:f>
        <x:v>0</x:v>
      </x:c>
      <x:c r="K87" s="136" t="n">
        <x:f>IF(C87=1,ROUND('车辆输入'!$K$12+'车辆输入'!$L$12,2),0)</x:f>
        <x:v>0</x:v>
      </x:c>
      <x:c r="L87" s="136" t="n">
        <x:f>IF(C87=1,ROUND(('车辆输入'!$M$12+'车辆输入'!$N$12)*'参数输入'!$B$20,2),0)</x:f>
        <x:v>0</x:v>
      </x:c>
      <x:c r="M87" s="136" t="n">
        <x:f>IF(C87=0,0,ROUND(IF(B87='参数输入'!$B$8,K87-SUMIFS($M$3:$M$122,$A$3:$A$122,A87,$B$3:$B$122,"&lt;"&amp;B87),K87*J87),2))</x:f>
        <x:v>0</x:v>
      </x:c>
      <x:c r="N87" s="136" t="n">
        <x:f>IF(C87=0,0,ROUND(IF(B87='参数输入'!$B$8,L87-SUMIFS($N$3:$N$122,$A$3:$A$122,A87,$B$3:$B$122,"&lt;"&amp;B87),L87*J87),2))</x:f>
        <x:v>0</x:v>
      </x:c>
      <x:c r="O87" s="128" t="n">
        <x:v>0</x:v>
      </x:c>
      <x:c r="P87" s="136" t="n">
        <x:f>ROUND(I87+O87,2)</x:f>
        <x:v>0</x:v>
      </x:c>
      <x:c r="Q87" s="123" t="str">
        <x:f>IF(C87=0,"",IF(B87=1,'参数输入'!$B$10,EDATE('参数输入'!$B$24,B87-1)+1))</x:f>
      </x:c>
      <x:c r="R87" s="123" t="str">
        <x:f>IF(C87=0,"",EDATE('参数输入'!$B$24,B87))</x:f>
      </x:c>
    </x:row>
    <x:row r="88">
      <x:c r="A88" s="101" t="str">
        <x:v>V08</x:v>
      </x:c>
      <x:c r="B88" s="101" t="n">
        <x:v>2</x:v>
      </x:c>
      <x:c r="C88" s="101" t="n">
        <x:f>IF(AND(SUM('车辆输入'!$B$12:$F$12)&gt;0,B88&lt;='参数输入'!$B$8),1,0)</x:f>
        <x:v>0</x:v>
      </x:c>
      <x:c r="D88" s="136" t="n">
        <x:f>IF(C88=1,ROUND(MAX('车辆输入'!$M$12-ROUND('车辆输入'!$M$12/'参数输入'!$B$8,2)*(B88-1),0),2),0)</x:f>
        <x:v>0</x:v>
      </x:c>
      <x:c r="E88" s="136" t="n">
        <x:f>IF(AND(C88=1,B88&lt;='参数输入'!$B$9),ROUND(MAX('车辆输入'!$N$12-ROUND('车辆输入'!$N$12/MAX('参数输入'!$B$9,1),2)*(B88-1),0),2),0)</x:f>
        <x:v>0</x:v>
      </x:c>
      <x:c r="F88" s="136" t="n">
        <x:f>ROUND(D88+E88,2)</x:f>
        <x:v>0</x:v>
      </x:c>
      <x:c r="G88" s="136" t="n">
        <x:f>IF(C88=0,0,ROUND(IF(B88='参数输入'!$B$8,D88,MIN(D88,ROUND('车辆输入'!$M$12/'参数输入'!$B$8,2))),2))</x:f>
        <x:v>0</x:v>
      </x:c>
      <x:c r="H88" s="136" t="n">
        <x:f>IF(OR(C88=0,'参数输入'!$B$9=0,B88&gt;'参数输入'!$B$9),0,ROUND(IF(B88='参数输入'!$B$9,E88,MIN(E88,ROUND('车辆输入'!$N$12/'参数输入'!$B$9,2))),2))</x:f>
        <x:v>0</x:v>
      </x:c>
      <x:c r="I88" s="136" t="n">
        <x:f>ROUND(G88+H88,2)</x:f>
        <x:v>0</x:v>
      </x:c>
      <x:c r="J88" s="137" t="n">
        <x:f>IF(C88=1,F88/SUMIFS($F$3:$F$122,$A$3:$A$122,A88,$C$3:$C$122,1),0)</x:f>
        <x:v>0</x:v>
      </x:c>
      <x:c r="K88" s="136" t="n">
        <x:f>IF(C88=1,ROUND('车辆输入'!$K$12+'车辆输入'!$L$12,2),0)</x:f>
        <x:v>0</x:v>
      </x:c>
      <x:c r="L88" s="136" t="n">
        <x:f>IF(C88=1,ROUND(('车辆输入'!$M$12+'车辆输入'!$N$12)*'参数输入'!$B$20,2),0)</x:f>
        <x:v>0</x:v>
      </x:c>
      <x:c r="M88" s="136" t="n">
        <x:f>IF(C88=0,0,ROUND(IF(B88='参数输入'!$B$8,K88-SUMIFS($M$3:$M$122,$A$3:$A$122,A88,$B$3:$B$122,"&lt;"&amp;B88),K88*J88),2))</x:f>
        <x:v>0</x:v>
      </x:c>
      <x:c r="N88" s="136" t="n">
        <x:f>IF(C88=0,0,ROUND(IF(B88='参数输入'!$B$8,L88-SUMIFS($N$3:$N$122,$A$3:$A$122,A88,$B$3:$B$122,"&lt;"&amp;B88),L88*J88),2))</x:f>
        <x:v>0</x:v>
      </x:c>
      <x:c r="O88" s="128" t="n">
        <x:v>0</x:v>
      </x:c>
      <x:c r="P88" s="136" t="n">
        <x:f>ROUND(I88+O88,2)</x:f>
        <x:v>0</x:v>
      </x:c>
      <x:c r="Q88" s="123" t="str">
        <x:f>IF(C88=0,"",IF(B88=1,'参数输入'!$B$10,EDATE('参数输入'!$B$24,B88-1)+1))</x:f>
      </x:c>
      <x:c r="R88" s="123" t="str">
        <x:f>IF(C88=0,"",EDATE('参数输入'!$B$24,B88))</x:f>
      </x:c>
    </x:row>
    <x:row r="89">
      <x:c r="A89" s="101" t="str">
        <x:v>V08</x:v>
      </x:c>
      <x:c r="B89" s="101" t="n">
        <x:v>3</x:v>
      </x:c>
      <x:c r="C89" s="101" t="n">
        <x:f>IF(AND(SUM('车辆输入'!$B$12:$F$12)&gt;0,B89&lt;='参数输入'!$B$8),1,0)</x:f>
        <x:v>0</x:v>
      </x:c>
      <x:c r="D89" s="136" t="n">
        <x:f>IF(C89=1,ROUND(MAX('车辆输入'!$M$12-ROUND('车辆输入'!$M$12/'参数输入'!$B$8,2)*(B89-1),0),2),0)</x:f>
        <x:v>0</x:v>
      </x:c>
      <x:c r="E89" s="136" t="n">
        <x:f>IF(AND(C89=1,B89&lt;='参数输入'!$B$9),ROUND(MAX('车辆输入'!$N$12-ROUND('车辆输入'!$N$12/MAX('参数输入'!$B$9,1),2)*(B89-1),0),2),0)</x:f>
        <x:v>0</x:v>
      </x:c>
      <x:c r="F89" s="136" t="n">
        <x:f>ROUND(D89+E89,2)</x:f>
        <x:v>0</x:v>
      </x:c>
      <x:c r="G89" s="136" t="n">
        <x:f>IF(C89=0,0,ROUND(IF(B89='参数输入'!$B$8,D89,MIN(D89,ROUND('车辆输入'!$M$12/'参数输入'!$B$8,2))),2))</x:f>
        <x:v>0</x:v>
      </x:c>
      <x:c r="H89" s="136" t="n">
        <x:f>IF(OR(C89=0,'参数输入'!$B$9=0,B89&gt;'参数输入'!$B$9),0,ROUND(IF(B89='参数输入'!$B$9,E89,MIN(E89,ROUND('车辆输入'!$N$12/'参数输入'!$B$9,2))),2))</x:f>
        <x:v>0</x:v>
      </x:c>
      <x:c r="I89" s="136" t="n">
        <x:f>ROUND(G89+H89,2)</x:f>
        <x:v>0</x:v>
      </x:c>
      <x:c r="J89" s="137" t="n">
        <x:f>IF(C89=1,F89/SUMIFS($F$3:$F$122,$A$3:$A$122,A89,$C$3:$C$122,1),0)</x:f>
        <x:v>0</x:v>
      </x:c>
      <x:c r="K89" s="136" t="n">
        <x:f>IF(C89=1,ROUND('车辆输入'!$K$12+'车辆输入'!$L$12,2),0)</x:f>
        <x:v>0</x:v>
      </x:c>
      <x:c r="L89" s="136" t="n">
        <x:f>IF(C89=1,ROUND(('车辆输入'!$M$12+'车辆输入'!$N$12)*'参数输入'!$B$20,2),0)</x:f>
        <x:v>0</x:v>
      </x:c>
      <x:c r="M89" s="136" t="n">
        <x:f>IF(C89=0,0,ROUND(IF(B89='参数输入'!$B$8,K89-SUMIFS($M$3:$M$122,$A$3:$A$122,A89,$B$3:$B$122,"&lt;"&amp;B89),K89*J89),2))</x:f>
        <x:v>0</x:v>
      </x:c>
      <x:c r="N89" s="136" t="n">
        <x:f>IF(C89=0,0,ROUND(IF(B89='参数输入'!$B$8,L89-SUMIFS($N$3:$N$122,$A$3:$A$122,A89,$B$3:$B$122,"&lt;"&amp;B89),L89*J89),2))</x:f>
        <x:v>0</x:v>
      </x:c>
      <x:c r="O89" s="128" t="n">
        <x:v>0</x:v>
      </x:c>
      <x:c r="P89" s="136" t="n">
        <x:f>ROUND(I89+O89,2)</x:f>
        <x:v>0</x:v>
      </x:c>
      <x:c r="Q89" s="123" t="str">
        <x:f>IF(C89=0,"",IF(B89=1,'参数输入'!$B$10,EDATE('参数输入'!$B$24,B89-1)+1))</x:f>
      </x:c>
      <x:c r="R89" s="123" t="str">
        <x:f>IF(C89=0,"",EDATE('参数输入'!$B$24,B89))</x:f>
      </x:c>
    </x:row>
    <x:row r="90">
      <x:c r="A90" s="101" t="str">
        <x:v>V08</x:v>
      </x:c>
      <x:c r="B90" s="101" t="n">
        <x:v>4</x:v>
      </x:c>
      <x:c r="C90" s="101" t="n">
        <x:f>IF(AND(SUM('车辆输入'!$B$12:$F$12)&gt;0,B90&lt;='参数输入'!$B$8),1,0)</x:f>
        <x:v>0</x:v>
      </x:c>
      <x:c r="D90" s="136" t="n">
        <x:f>IF(C90=1,ROUND(MAX('车辆输入'!$M$12-ROUND('车辆输入'!$M$12/'参数输入'!$B$8,2)*(B90-1),0),2),0)</x:f>
        <x:v>0</x:v>
      </x:c>
      <x:c r="E90" s="136" t="n">
        <x:f>IF(AND(C90=1,B90&lt;='参数输入'!$B$9),ROUND(MAX('车辆输入'!$N$12-ROUND('车辆输入'!$N$12/MAX('参数输入'!$B$9,1),2)*(B90-1),0),2),0)</x:f>
        <x:v>0</x:v>
      </x:c>
      <x:c r="F90" s="136" t="n">
        <x:f>ROUND(D90+E90,2)</x:f>
        <x:v>0</x:v>
      </x:c>
      <x:c r="G90" s="136" t="n">
        <x:f>IF(C90=0,0,ROUND(IF(B90='参数输入'!$B$8,D90,MIN(D90,ROUND('车辆输入'!$M$12/'参数输入'!$B$8,2))),2))</x:f>
        <x:v>0</x:v>
      </x:c>
      <x:c r="H90" s="136" t="n">
        <x:f>IF(OR(C90=0,'参数输入'!$B$9=0,B90&gt;'参数输入'!$B$9),0,ROUND(IF(B90='参数输入'!$B$9,E90,MIN(E90,ROUND('车辆输入'!$N$12/'参数输入'!$B$9,2))),2))</x:f>
        <x:v>0</x:v>
      </x:c>
      <x:c r="I90" s="136" t="n">
        <x:f>ROUND(G90+H90,2)</x:f>
        <x:v>0</x:v>
      </x:c>
      <x:c r="J90" s="137" t="n">
        <x:f>IF(C90=1,F90/SUMIFS($F$3:$F$122,$A$3:$A$122,A90,$C$3:$C$122,1),0)</x:f>
        <x:v>0</x:v>
      </x:c>
      <x:c r="K90" s="136" t="n">
        <x:f>IF(C90=1,ROUND('车辆输入'!$K$12+'车辆输入'!$L$12,2),0)</x:f>
        <x:v>0</x:v>
      </x:c>
      <x:c r="L90" s="136" t="n">
        <x:f>IF(C90=1,ROUND(('车辆输入'!$M$12+'车辆输入'!$N$12)*'参数输入'!$B$20,2),0)</x:f>
        <x:v>0</x:v>
      </x:c>
      <x:c r="M90" s="136" t="n">
        <x:f>IF(C90=0,0,ROUND(IF(B90='参数输入'!$B$8,K90-SUMIFS($M$3:$M$122,$A$3:$A$122,A90,$B$3:$B$122,"&lt;"&amp;B90),K90*J90),2))</x:f>
        <x:v>0</x:v>
      </x:c>
      <x:c r="N90" s="136" t="n">
        <x:f>IF(C90=0,0,ROUND(IF(B90='参数输入'!$B$8,L90-SUMIFS($N$3:$N$122,$A$3:$A$122,A90,$B$3:$B$122,"&lt;"&amp;B90),L90*J90),2))</x:f>
        <x:v>0</x:v>
      </x:c>
      <x:c r="O90" s="128" t="n">
        <x:v>0</x:v>
      </x:c>
      <x:c r="P90" s="136" t="n">
        <x:f>ROUND(I90+O90,2)</x:f>
        <x:v>0</x:v>
      </x:c>
      <x:c r="Q90" s="123" t="str">
        <x:f>IF(C90=0,"",IF(B90=1,'参数输入'!$B$10,EDATE('参数输入'!$B$24,B90-1)+1))</x:f>
      </x:c>
      <x:c r="R90" s="123" t="str">
        <x:f>IF(C90=0,"",EDATE('参数输入'!$B$24,B90))</x:f>
      </x:c>
    </x:row>
    <x:row r="91">
      <x:c r="A91" s="101" t="str">
        <x:v>V08</x:v>
      </x:c>
      <x:c r="B91" s="101" t="n">
        <x:v>5</x:v>
      </x:c>
      <x:c r="C91" s="101" t="n">
        <x:f>IF(AND(SUM('车辆输入'!$B$12:$F$12)&gt;0,B91&lt;='参数输入'!$B$8),1,0)</x:f>
        <x:v>0</x:v>
      </x:c>
      <x:c r="D91" s="136" t="n">
        <x:f>IF(C91=1,ROUND(MAX('车辆输入'!$M$12-ROUND('车辆输入'!$M$12/'参数输入'!$B$8,2)*(B91-1),0),2),0)</x:f>
        <x:v>0</x:v>
      </x:c>
      <x:c r="E91" s="136" t="n">
        <x:f>IF(AND(C91=1,B91&lt;='参数输入'!$B$9),ROUND(MAX('车辆输入'!$N$12-ROUND('车辆输入'!$N$12/MAX('参数输入'!$B$9,1),2)*(B91-1),0),2),0)</x:f>
        <x:v>0</x:v>
      </x:c>
      <x:c r="F91" s="136" t="n">
        <x:f>ROUND(D91+E91,2)</x:f>
        <x:v>0</x:v>
      </x:c>
      <x:c r="G91" s="136" t="n">
        <x:f>IF(C91=0,0,ROUND(IF(B91='参数输入'!$B$8,D91,MIN(D91,ROUND('车辆输入'!$M$12/'参数输入'!$B$8,2))),2))</x:f>
        <x:v>0</x:v>
      </x:c>
      <x:c r="H91" s="136" t="n">
        <x:f>IF(OR(C91=0,'参数输入'!$B$9=0,B91&gt;'参数输入'!$B$9),0,ROUND(IF(B91='参数输入'!$B$9,E91,MIN(E91,ROUND('车辆输入'!$N$12/'参数输入'!$B$9,2))),2))</x:f>
        <x:v>0</x:v>
      </x:c>
      <x:c r="I91" s="136" t="n">
        <x:f>ROUND(G91+H91,2)</x:f>
        <x:v>0</x:v>
      </x:c>
      <x:c r="J91" s="137" t="n">
        <x:f>IF(C91=1,F91/SUMIFS($F$3:$F$122,$A$3:$A$122,A91,$C$3:$C$122,1),0)</x:f>
        <x:v>0</x:v>
      </x:c>
      <x:c r="K91" s="136" t="n">
        <x:f>IF(C91=1,ROUND('车辆输入'!$K$12+'车辆输入'!$L$12,2),0)</x:f>
        <x:v>0</x:v>
      </x:c>
      <x:c r="L91" s="136" t="n">
        <x:f>IF(C91=1,ROUND(('车辆输入'!$M$12+'车辆输入'!$N$12)*'参数输入'!$B$20,2),0)</x:f>
        <x:v>0</x:v>
      </x:c>
      <x:c r="M91" s="136" t="n">
        <x:f>IF(C91=0,0,ROUND(IF(B91='参数输入'!$B$8,K91-SUMIFS($M$3:$M$122,$A$3:$A$122,A91,$B$3:$B$122,"&lt;"&amp;B91),K91*J91),2))</x:f>
        <x:v>0</x:v>
      </x:c>
      <x:c r="N91" s="136" t="n">
        <x:f>IF(C91=0,0,ROUND(IF(B91='参数输入'!$B$8,L91-SUMIFS($N$3:$N$122,$A$3:$A$122,A91,$B$3:$B$122,"&lt;"&amp;B91),L91*J91),2))</x:f>
        <x:v>0</x:v>
      </x:c>
      <x:c r="O91" s="128" t="n">
        <x:v>0</x:v>
      </x:c>
      <x:c r="P91" s="136" t="n">
        <x:f>ROUND(I91+O91,2)</x:f>
        <x:v>0</x:v>
      </x:c>
      <x:c r="Q91" s="123" t="str">
        <x:f>IF(C91=0,"",IF(B91=1,'参数输入'!$B$10,EDATE('参数输入'!$B$24,B91-1)+1))</x:f>
      </x:c>
      <x:c r="R91" s="123" t="str">
        <x:f>IF(C91=0,"",EDATE('参数输入'!$B$24,B91))</x:f>
      </x:c>
    </x:row>
    <x:row r="92">
      <x:c r="A92" s="101" t="str">
        <x:v>V08</x:v>
      </x:c>
      <x:c r="B92" s="101" t="n">
        <x:v>6</x:v>
      </x:c>
      <x:c r="C92" s="101" t="n">
        <x:f>IF(AND(SUM('车辆输入'!$B$12:$F$12)&gt;0,B92&lt;='参数输入'!$B$8),1,0)</x:f>
        <x:v>0</x:v>
      </x:c>
      <x:c r="D92" s="136" t="n">
        <x:f>IF(C92=1,ROUND(MAX('车辆输入'!$M$12-ROUND('车辆输入'!$M$12/'参数输入'!$B$8,2)*(B92-1),0),2),0)</x:f>
        <x:v>0</x:v>
      </x:c>
      <x:c r="E92" s="136" t="n">
        <x:f>IF(AND(C92=1,B92&lt;='参数输入'!$B$9),ROUND(MAX('车辆输入'!$N$12-ROUND('车辆输入'!$N$12/MAX('参数输入'!$B$9,1),2)*(B92-1),0),2),0)</x:f>
        <x:v>0</x:v>
      </x:c>
      <x:c r="F92" s="136" t="n">
        <x:f>ROUND(D92+E92,2)</x:f>
        <x:v>0</x:v>
      </x:c>
      <x:c r="G92" s="136" t="n">
        <x:f>IF(C92=0,0,ROUND(IF(B92='参数输入'!$B$8,D92,MIN(D92,ROUND('车辆输入'!$M$12/'参数输入'!$B$8,2))),2))</x:f>
        <x:v>0</x:v>
      </x:c>
      <x:c r="H92" s="136" t="n">
        <x:f>IF(OR(C92=0,'参数输入'!$B$9=0,B92&gt;'参数输入'!$B$9),0,ROUND(IF(B92='参数输入'!$B$9,E92,MIN(E92,ROUND('车辆输入'!$N$12/'参数输入'!$B$9,2))),2))</x:f>
        <x:v>0</x:v>
      </x:c>
      <x:c r="I92" s="136" t="n">
        <x:f>ROUND(G92+H92,2)</x:f>
        <x:v>0</x:v>
      </x:c>
      <x:c r="J92" s="137" t="n">
        <x:f>IF(C92=1,F92/SUMIFS($F$3:$F$122,$A$3:$A$122,A92,$C$3:$C$122,1),0)</x:f>
        <x:v>0</x:v>
      </x:c>
      <x:c r="K92" s="136" t="n">
        <x:f>IF(C92=1,ROUND('车辆输入'!$K$12+'车辆输入'!$L$12,2),0)</x:f>
        <x:v>0</x:v>
      </x:c>
      <x:c r="L92" s="136" t="n">
        <x:f>IF(C92=1,ROUND(('车辆输入'!$M$12+'车辆输入'!$N$12)*'参数输入'!$B$20,2),0)</x:f>
        <x:v>0</x:v>
      </x:c>
      <x:c r="M92" s="136" t="n">
        <x:f>IF(C92=0,0,ROUND(IF(B92='参数输入'!$B$8,K92-SUMIFS($M$3:$M$122,$A$3:$A$122,A92,$B$3:$B$122,"&lt;"&amp;B92),K92*J92),2))</x:f>
        <x:v>0</x:v>
      </x:c>
      <x:c r="N92" s="136" t="n">
        <x:f>IF(C92=0,0,ROUND(IF(B92='参数输入'!$B$8,L92-SUMIFS($N$3:$N$122,$A$3:$A$122,A92,$B$3:$B$122,"&lt;"&amp;B92),L92*J92),2))</x:f>
        <x:v>0</x:v>
      </x:c>
      <x:c r="O92" s="128" t="n">
        <x:v>0</x:v>
      </x:c>
      <x:c r="P92" s="136" t="n">
        <x:f>ROUND(I92+O92,2)</x:f>
        <x:v>0</x:v>
      </x:c>
      <x:c r="Q92" s="123" t="str">
        <x:f>IF(C92=0,"",IF(B92=1,'参数输入'!$B$10,EDATE('参数输入'!$B$24,B92-1)+1))</x:f>
      </x:c>
      <x:c r="R92" s="123" t="str">
        <x:f>IF(C92=0,"",EDATE('参数输入'!$B$24,B92))</x:f>
      </x:c>
    </x:row>
    <x:row r="93">
      <x:c r="A93" s="101" t="str">
        <x:v>V08</x:v>
      </x:c>
      <x:c r="B93" s="101" t="n">
        <x:v>7</x:v>
      </x:c>
      <x:c r="C93" s="101" t="n">
        <x:f>IF(AND(SUM('车辆输入'!$B$12:$F$12)&gt;0,B93&lt;='参数输入'!$B$8),1,0)</x:f>
        <x:v>0</x:v>
      </x:c>
      <x:c r="D93" s="136" t="n">
        <x:f>IF(C93=1,ROUND(MAX('车辆输入'!$M$12-ROUND('车辆输入'!$M$12/'参数输入'!$B$8,2)*(B93-1),0),2),0)</x:f>
        <x:v>0</x:v>
      </x:c>
      <x:c r="E93" s="136" t="n">
        <x:f>IF(AND(C93=1,B93&lt;='参数输入'!$B$9),ROUND(MAX('车辆输入'!$N$12-ROUND('车辆输入'!$N$12/MAX('参数输入'!$B$9,1),2)*(B93-1),0),2),0)</x:f>
        <x:v>0</x:v>
      </x:c>
      <x:c r="F93" s="136" t="n">
        <x:f>ROUND(D93+E93,2)</x:f>
        <x:v>0</x:v>
      </x:c>
      <x:c r="G93" s="136" t="n">
        <x:f>IF(C93=0,0,ROUND(IF(B93='参数输入'!$B$8,D93,MIN(D93,ROUND('车辆输入'!$M$12/'参数输入'!$B$8,2))),2))</x:f>
        <x:v>0</x:v>
      </x:c>
      <x:c r="H93" s="136" t="n">
        <x:f>IF(OR(C93=0,'参数输入'!$B$9=0,B93&gt;'参数输入'!$B$9),0,ROUND(IF(B93='参数输入'!$B$9,E93,MIN(E93,ROUND('车辆输入'!$N$12/'参数输入'!$B$9,2))),2))</x:f>
        <x:v>0</x:v>
      </x:c>
      <x:c r="I93" s="136" t="n">
        <x:f>ROUND(G93+H93,2)</x:f>
        <x:v>0</x:v>
      </x:c>
      <x:c r="J93" s="137" t="n">
        <x:f>IF(C93=1,F93/SUMIFS($F$3:$F$122,$A$3:$A$122,A93,$C$3:$C$122,1),0)</x:f>
        <x:v>0</x:v>
      </x:c>
      <x:c r="K93" s="136" t="n">
        <x:f>IF(C93=1,ROUND('车辆输入'!$K$12+'车辆输入'!$L$12,2),0)</x:f>
        <x:v>0</x:v>
      </x:c>
      <x:c r="L93" s="136" t="n">
        <x:f>IF(C93=1,ROUND(('车辆输入'!$M$12+'车辆输入'!$N$12)*'参数输入'!$B$20,2),0)</x:f>
        <x:v>0</x:v>
      </x:c>
      <x:c r="M93" s="136" t="n">
        <x:f>IF(C93=0,0,ROUND(IF(B93='参数输入'!$B$8,K93-SUMIFS($M$3:$M$122,$A$3:$A$122,A93,$B$3:$B$122,"&lt;"&amp;B93),K93*J93),2))</x:f>
        <x:v>0</x:v>
      </x:c>
      <x:c r="N93" s="136" t="n">
        <x:f>IF(C93=0,0,ROUND(IF(B93='参数输入'!$B$8,L93-SUMIFS($N$3:$N$122,$A$3:$A$122,A93,$B$3:$B$122,"&lt;"&amp;B93),L93*J93),2))</x:f>
        <x:v>0</x:v>
      </x:c>
      <x:c r="O93" s="128" t="n">
        <x:v>0</x:v>
      </x:c>
      <x:c r="P93" s="136" t="n">
        <x:f>ROUND(I93+O93,2)</x:f>
        <x:v>0</x:v>
      </x:c>
      <x:c r="Q93" s="123" t="str">
        <x:f>IF(C93=0,"",IF(B93=1,'参数输入'!$B$10,EDATE('参数输入'!$B$24,B93-1)+1))</x:f>
      </x:c>
      <x:c r="R93" s="123" t="str">
        <x:f>IF(C93=0,"",EDATE('参数输入'!$B$24,B93))</x:f>
      </x:c>
    </x:row>
    <x:row r="94">
      <x:c r="A94" s="101" t="str">
        <x:v>V08</x:v>
      </x:c>
      <x:c r="B94" s="101" t="n">
        <x:v>8</x:v>
      </x:c>
      <x:c r="C94" s="101" t="n">
        <x:f>IF(AND(SUM('车辆输入'!$B$12:$F$12)&gt;0,B94&lt;='参数输入'!$B$8),1,0)</x:f>
        <x:v>0</x:v>
      </x:c>
      <x:c r="D94" s="136" t="n">
        <x:f>IF(C94=1,ROUND(MAX('车辆输入'!$M$12-ROUND('车辆输入'!$M$12/'参数输入'!$B$8,2)*(B94-1),0),2),0)</x:f>
        <x:v>0</x:v>
      </x:c>
      <x:c r="E94" s="136" t="n">
        <x:f>IF(AND(C94=1,B94&lt;='参数输入'!$B$9),ROUND(MAX('车辆输入'!$N$12-ROUND('车辆输入'!$N$12/MAX('参数输入'!$B$9,1),2)*(B94-1),0),2),0)</x:f>
        <x:v>0</x:v>
      </x:c>
      <x:c r="F94" s="136" t="n">
        <x:f>ROUND(D94+E94,2)</x:f>
        <x:v>0</x:v>
      </x:c>
      <x:c r="G94" s="136" t="n">
        <x:f>IF(C94=0,0,ROUND(IF(B94='参数输入'!$B$8,D94,MIN(D94,ROUND('车辆输入'!$M$12/'参数输入'!$B$8,2))),2))</x:f>
        <x:v>0</x:v>
      </x:c>
      <x:c r="H94" s="136" t="n">
        <x:f>IF(OR(C94=0,'参数输入'!$B$9=0,B94&gt;'参数输入'!$B$9),0,ROUND(IF(B94='参数输入'!$B$9,E94,MIN(E94,ROUND('车辆输入'!$N$12/'参数输入'!$B$9,2))),2))</x:f>
        <x:v>0</x:v>
      </x:c>
      <x:c r="I94" s="136" t="n">
        <x:f>ROUND(G94+H94,2)</x:f>
        <x:v>0</x:v>
      </x:c>
      <x:c r="J94" s="137" t="n">
        <x:f>IF(C94=1,F94/SUMIFS($F$3:$F$122,$A$3:$A$122,A94,$C$3:$C$122,1),0)</x:f>
        <x:v>0</x:v>
      </x:c>
      <x:c r="K94" s="136" t="n">
        <x:f>IF(C94=1,ROUND('车辆输入'!$K$12+'车辆输入'!$L$12,2),0)</x:f>
        <x:v>0</x:v>
      </x:c>
      <x:c r="L94" s="136" t="n">
        <x:f>IF(C94=1,ROUND(('车辆输入'!$M$12+'车辆输入'!$N$12)*'参数输入'!$B$20,2),0)</x:f>
        <x:v>0</x:v>
      </x:c>
      <x:c r="M94" s="136" t="n">
        <x:f>IF(C94=0,0,ROUND(IF(B94='参数输入'!$B$8,K94-SUMIFS($M$3:$M$122,$A$3:$A$122,A94,$B$3:$B$122,"&lt;"&amp;B94),K94*J94),2))</x:f>
        <x:v>0</x:v>
      </x:c>
      <x:c r="N94" s="136" t="n">
        <x:f>IF(C94=0,0,ROUND(IF(B94='参数输入'!$B$8,L94-SUMIFS($N$3:$N$122,$A$3:$A$122,A94,$B$3:$B$122,"&lt;"&amp;B94),L94*J94),2))</x:f>
        <x:v>0</x:v>
      </x:c>
      <x:c r="O94" s="128" t="n">
        <x:v>0</x:v>
      </x:c>
      <x:c r="P94" s="136" t="n">
        <x:f>ROUND(I94+O94,2)</x:f>
        <x:v>0</x:v>
      </x:c>
      <x:c r="Q94" s="123" t="str">
        <x:f>IF(C94=0,"",IF(B94=1,'参数输入'!$B$10,EDATE('参数输入'!$B$24,B94-1)+1))</x:f>
      </x:c>
      <x:c r="R94" s="123" t="str">
        <x:f>IF(C94=0,"",EDATE('参数输入'!$B$24,B94))</x:f>
      </x:c>
    </x:row>
    <x:row r="95">
      <x:c r="A95" s="101" t="str">
        <x:v>V08</x:v>
      </x:c>
      <x:c r="B95" s="101" t="n">
        <x:v>9</x:v>
      </x:c>
      <x:c r="C95" s="101" t="n">
        <x:f>IF(AND(SUM('车辆输入'!$B$12:$F$12)&gt;0,B95&lt;='参数输入'!$B$8),1,0)</x:f>
        <x:v>0</x:v>
      </x:c>
      <x:c r="D95" s="136" t="n">
        <x:f>IF(C95=1,ROUND(MAX('车辆输入'!$M$12-ROUND('车辆输入'!$M$12/'参数输入'!$B$8,2)*(B95-1),0),2),0)</x:f>
        <x:v>0</x:v>
      </x:c>
      <x:c r="E95" s="136" t="n">
        <x:f>IF(AND(C95=1,B95&lt;='参数输入'!$B$9),ROUND(MAX('车辆输入'!$N$12-ROUND('车辆输入'!$N$12/MAX('参数输入'!$B$9,1),2)*(B95-1),0),2),0)</x:f>
        <x:v>0</x:v>
      </x:c>
      <x:c r="F95" s="136" t="n">
        <x:f>ROUND(D95+E95,2)</x:f>
        <x:v>0</x:v>
      </x:c>
      <x:c r="G95" s="136" t="n">
        <x:f>IF(C95=0,0,ROUND(IF(B95='参数输入'!$B$8,D95,MIN(D95,ROUND('车辆输入'!$M$12/'参数输入'!$B$8,2))),2))</x:f>
        <x:v>0</x:v>
      </x:c>
      <x:c r="H95" s="136" t="n">
        <x:f>IF(OR(C95=0,'参数输入'!$B$9=0,B95&gt;'参数输入'!$B$9),0,ROUND(IF(B95='参数输入'!$B$9,E95,MIN(E95,ROUND('车辆输入'!$N$12/'参数输入'!$B$9,2))),2))</x:f>
        <x:v>0</x:v>
      </x:c>
      <x:c r="I95" s="136" t="n">
        <x:f>ROUND(G95+H95,2)</x:f>
        <x:v>0</x:v>
      </x:c>
      <x:c r="J95" s="137" t="n">
        <x:f>IF(C95=1,F95/SUMIFS($F$3:$F$122,$A$3:$A$122,A95,$C$3:$C$122,1),0)</x:f>
        <x:v>0</x:v>
      </x:c>
      <x:c r="K95" s="136" t="n">
        <x:f>IF(C95=1,ROUND('车辆输入'!$K$12+'车辆输入'!$L$12,2),0)</x:f>
        <x:v>0</x:v>
      </x:c>
      <x:c r="L95" s="136" t="n">
        <x:f>IF(C95=1,ROUND(('车辆输入'!$M$12+'车辆输入'!$N$12)*'参数输入'!$B$20,2),0)</x:f>
        <x:v>0</x:v>
      </x:c>
      <x:c r="M95" s="136" t="n">
        <x:f>IF(C95=0,0,ROUND(IF(B95='参数输入'!$B$8,K95-SUMIFS($M$3:$M$122,$A$3:$A$122,A95,$B$3:$B$122,"&lt;"&amp;B95),K95*J95),2))</x:f>
        <x:v>0</x:v>
      </x:c>
      <x:c r="N95" s="136" t="n">
        <x:f>IF(C95=0,0,ROUND(IF(B95='参数输入'!$B$8,L95-SUMIFS($N$3:$N$122,$A$3:$A$122,A95,$B$3:$B$122,"&lt;"&amp;B95),L95*J95),2))</x:f>
        <x:v>0</x:v>
      </x:c>
      <x:c r="O95" s="128" t="n">
        <x:v>0</x:v>
      </x:c>
      <x:c r="P95" s="136" t="n">
        <x:f>ROUND(I95+O95,2)</x:f>
        <x:v>0</x:v>
      </x:c>
      <x:c r="Q95" s="123" t="str">
        <x:f>IF(C95=0,"",IF(B95=1,'参数输入'!$B$10,EDATE('参数输入'!$B$24,B95-1)+1))</x:f>
      </x:c>
      <x:c r="R95" s="123" t="str">
        <x:f>IF(C95=0,"",EDATE('参数输入'!$B$24,B95))</x:f>
      </x:c>
    </x:row>
    <x:row r="96">
      <x:c r="A96" s="101" t="str">
        <x:v>V08</x:v>
      </x:c>
      <x:c r="B96" s="101" t="n">
        <x:v>10</x:v>
      </x:c>
      <x:c r="C96" s="101" t="n">
        <x:f>IF(AND(SUM('车辆输入'!$B$12:$F$12)&gt;0,B96&lt;='参数输入'!$B$8),1,0)</x:f>
        <x:v>0</x:v>
      </x:c>
      <x:c r="D96" s="136" t="n">
        <x:f>IF(C96=1,ROUND(MAX('车辆输入'!$M$12-ROUND('车辆输入'!$M$12/'参数输入'!$B$8,2)*(B96-1),0),2),0)</x:f>
        <x:v>0</x:v>
      </x:c>
      <x:c r="E96" s="136" t="n">
        <x:f>IF(AND(C96=1,B96&lt;='参数输入'!$B$9),ROUND(MAX('车辆输入'!$N$12-ROUND('车辆输入'!$N$12/MAX('参数输入'!$B$9,1),2)*(B96-1),0),2),0)</x:f>
        <x:v>0</x:v>
      </x:c>
      <x:c r="F96" s="136" t="n">
        <x:f>ROUND(D96+E96,2)</x:f>
        <x:v>0</x:v>
      </x:c>
      <x:c r="G96" s="136" t="n">
        <x:f>IF(C96=0,0,ROUND(IF(B96='参数输入'!$B$8,D96,MIN(D96,ROUND('车辆输入'!$M$12/'参数输入'!$B$8,2))),2))</x:f>
        <x:v>0</x:v>
      </x:c>
      <x:c r="H96" s="136" t="n">
        <x:f>IF(OR(C96=0,'参数输入'!$B$9=0,B96&gt;'参数输入'!$B$9),0,ROUND(IF(B96='参数输入'!$B$9,E96,MIN(E96,ROUND('车辆输入'!$N$12/'参数输入'!$B$9,2))),2))</x:f>
        <x:v>0</x:v>
      </x:c>
      <x:c r="I96" s="136" t="n">
        <x:f>ROUND(G96+H96,2)</x:f>
        <x:v>0</x:v>
      </x:c>
      <x:c r="J96" s="137" t="n">
        <x:f>IF(C96=1,F96/SUMIFS($F$3:$F$122,$A$3:$A$122,A96,$C$3:$C$122,1),0)</x:f>
        <x:v>0</x:v>
      </x:c>
      <x:c r="K96" s="136" t="n">
        <x:f>IF(C96=1,ROUND('车辆输入'!$K$12+'车辆输入'!$L$12,2),0)</x:f>
        <x:v>0</x:v>
      </x:c>
      <x:c r="L96" s="136" t="n">
        <x:f>IF(C96=1,ROUND(('车辆输入'!$M$12+'车辆输入'!$N$12)*'参数输入'!$B$20,2),0)</x:f>
        <x:v>0</x:v>
      </x:c>
      <x:c r="M96" s="136" t="n">
        <x:f>IF(C96=0,0,ROUND(IF(B96='参数输入'!$B$8,K96-SUMIFS($M$3:$M$122,$A$3:$A$122,A96,$B$3:$B$122,"&lt;"&amp;B96),K96*J96),2))</x:f>
        <x:v>0</x:v>
      </x:c>
      <x:c r="N96" s="136" t="n">
        <x:f>IF(C96=0,0,ROUND(IF(B96='参数输入'!$B$8,L96-SUMIFS($N$3:$N$122,$A$3:$A$122,A96,$B$3:$B$122,"&lt;"&amp;B96),L96*J96),2))</x:f>
        <x:v>0</x:v>
      </x:c>
      <x:c r="O96" s="128" t="n">
        <x:v>0</x:v>
      </x:c>
      <x:c r="P96" s="136" t="n">
        <x:f>ROUND(I96+O96,2)</x:f>
        <x:v>0</x:v>
      </x:c>
      <x:c r="Q96" s="123" t="str">
        <x:f>IF(C96=0,"",IF(B96=1,'参数输入'!$B$10,EDATE('参数输入'!$B$24,B96-1)+1))</x:f>
      </x:c>
      <x:c r="R96" s="123" t="str">
        <x:f>IF(C96=0,"",EDATE('参数输入'!$B$24,B96))</x:f>
      </x:c>
    </x:row>
    <x:row r="97">
      <x:c r="A97" s="101" t="str">
        <x:v>V08</x:v>
      </x:c>
      <x:c r="B97" s="101" t="n">
        <x:v>11</x:v>
      </x:c>
      <x:c r="C97" s="101" t="n">
        <x:f>IF(AND(SUM('车辆输入'!$B$12:$F$12)&gt;0,B97&lt;='参数输入'!$B$8),1,0)</x:f>
        <x:v>0</x:v>
      </x:c>
      <x:c r="D97" s="136" t="n">
        <x:f>IF(C97=1,ROUND(MAX('车辆输入'!$M$12-ROUND('车辆输入'!$M$12/'参数输入'!$B$8,2)*(B97-1),0),2),0)</x:f>
        <x:v>0</x:v>
      </x:c>
      <x:c r="E97" s="136" t="n">
        <x:f>IF(AND(C97=1,B97&lt;='参数输入'!$B$9),ROUND(MAX('车辆输入'!$N$12-ROUND('车辆输入'!$N$12/MAX('参数输入'!$B$9,1),2)*(B97-1),0),2),0)</x:f>
        <x:v>0</x:v>
      </x:c>
      <x:c r="F97" s="136" t="n">
        <x:f>ROUND(D97+E97,2)</x:f>
        <x:v>0</x:v>
      </x:c>
      <x:c r="G97" s="136" t="n">
        <x:f>IF(C97=0,0,ROUND(IF(B97='参数输入'!$B$8,D97,MIN(D97,ROUND('车辆输入'!$M$12/'参数输入'!$B$8,2))),2))</x:f>
        <x:v>0</x:v>
      </x:c>
      <x:c r="H97" s="136" t="n">
        <x:f>IF(OR(C97=0,'参数输入'!$B$9=0,B97&gt;'参数输入'!$B$9),0,ROUND(IF(B97='参数输入'!$B$9,E97,MIN(E97,ROUND('车辆输入'!$N$12/'参数输入'!$B$9,2))),2))</x:f>
        <x:v>0</x:v>
      </x:c>
      <x:c r="I97" s="136" t="n">
        <x:f>ROUND(G97+H97,2)</x:f>
        <x:v>0</x:v>
      </x:c>
      <x:c r="J97" s="137" t="n">
        <x:f>IF(C97=1,F97/SUMIFS($F$3:$F$122,$A$3:$A$122,A97,$C$3:$C$122,1),0)</x:f>
        <x:v>0</x:v>
      </x:c>
      <x:c r="K97" s="136" t="n">
        <x:f>IF(C97=1,ROUND('车辆输入'!$K$12+'车辆输入'!$L$12,2),0)</x:f>
        <x:v>0</x:v>
      </x:c>
      <x:c r="L97" s="136" t="n">
        <x:f>IF(C97=1,ROUND(('车辆输入'!$M$12+'车辆输入'!$N$12)*'参数输入'!$B$20,2),0)</x:f>
        <x:v>0</x:v>
      </x:c>
      <x:c r="M97" s="136" t="n">
        <x:f>IF(C97=0,0,ROUND(IF(B97='参数输入'!$B$8,K97-SUMIFS($M$3:$M$122,$A$3:$A$122,A97,$B$3:$B$122,"&lt;"&amp;B97),K97*J97),2))</x:f>
        <x:v>0</x:v>
      </x:c>
      <x:c r="N97" s="136" t="n">
        <x:f>IF(C97=0,0,ROUND(IF(B97='参数输入'!$B$8,L97-SUMIFS($N$3:$N$122,$A$3:$A$122,A97,$B$3:$B$122,"&lt;"&amp;B97),L97*J97),2))</x:f>
        <x:v>0</x:v>
      </x:c>
      <x:c r="O97" s="128" t="n">
        <x:v>0</x:v>
      </x:c>
      <x:c r="P97" s="136" t="n">
        <x:f>ROUND(I97+O97,2)</x:f>
        <x:v>0</x:v>
      </x:c>
      <x:c r="Q97" s="123" t="str">
        <x:f>IF(C97=0,"",IF(B97=1,'参数输入'!$B$10,EDATE('参数输入'!$B$24,B97-1)+1))</x:f>
      </x:c>
      <x:c r="R97" s="123" t="str">
        <x:f>IF(C97=0,"",EDATE('参数输入'!$B$24,B97))</x:f>
      </x:c>
    </x:row>
    <x:row r="98">
      <x:c r="A98" s="101" t="str">
        <x:v>V08</x:v>
      </x:c>
      <x:c r="B98" s="101" t="n">
        <x:v>12</x:v>
      </x:c>
      <x:c r="C98" s="101" t="n">
        <x:f>IF(AND(SUM('车辆输入'!$B$12:$F$12)&gt;0,B98&lt;='参数输入'!$B$8),1,0)</x:f>
        <x:v>0</x:v>
      </x:c>
      <x:c r="D98" s="136" t="n">
        <x:f>IF(C98=1,ROUND(MAX('车辆输入'!$M$12-ROUND('车辆输入'!$M$12/'参数输入'!$B$8,2)*(B98-1),0),2),0)</x:f>
        <x:v>0</x:v>
      </x:c>
      <x:c r="E98" s="136" t="n">
        <x:f>IF(AND(C98=1,B98&lt;='参数输入'!$B$9),ROUND(MAX('车辆输入'!$N$12-ROUND('车辆输入'!$N$12/MAX('参数输入'!$B$9,1),2)*(B98-1),0),2),0)</x:f>
        <x:v>0</x:v>
      </x:c>
      <x:c r="F98" s="136" t="n">
        <x:f>ROUND(D98+E98,2)</x:f>
        <x:v>0</x:v>
      </x:c>
      <x:c r="G98" s="136" t="n">
        <x:f>IF(C98=0,0,ROUND(IF(B98='参数输入'!$B$8,D98,MIN(D98,ROUND('车辆输入'!$M$12/'参数输入'!$B$8,2))),2))</x:f>
        <x:v>0</x:v>
      </x:c>
      <x:c r="H98" s="136" t="n">
        <x:f>IF(OR(C98=0,'参数输入'!$B$9=0,B98&gt;'参数输入'!$B$9),0,ROUND(IF(B98='参数输入'!$B$9,E98,MIN(E98,ROUND('车辆输入'!$N$12/'参数输入'!$B$9,2))),2))</x:f>
        <x:v>0</x:v>
      </x:c>
      <x:c r="I98" s="136" t="n">
        <x:f>ROUND(G98+H98,2)</x:f>
        <x:v>0</x:v>
      </x:c>
      <x:c r="J98" s="137" t="n">
        <x:f>IF(C98=1,F98/SUMIFS($F$3:$F$122,$A$3:$A$122,A98,$C$3:$C$122,1),0)</x:f>
        <x:v>0</x:v>
      </x:c>
      <x:c r="K98" s="136" t="n">
        <x:f>IF(C98=1,ROUND('车辆输入'!$K$12+'车辆输入'!$L$12,2),0)</x:f>
        <x:v>0</x:v>
      </x:c>
      <x:c r="L98" s="136" t="n">
        <x:f>IF(C98=1,ROUND(('车辆输入'!$M$12+'车辆输入'!$N$12)*'参数输入'!$B$20,2),0)</x:f>
        <x:v>0</x:v>
      </x:c>
      <x:c r="M98" s="136" t="n">
        <x:f>IF(C98=0,0,ROUND(IF(B98='参数输入'!$B$8,K98-SUMIFS($M$3:$M$122,$A$3:$A$122,A98,$B$3:$B$122,"&lt;"&amp;B98),K98*J98),2))</x:f>
        <x:v>0</x:v>
      </x:c>
      <x:c r="N98" s="136" t="n">
        <x:f>IF(C98=0,0,ROUND(IF(B98='参数输入'!$B$8,L98-SUMIFS($N$3:$N$122,$A$3:$A$122,A98,$B$3:$B$122,"&lt;"&amp;B98),L98*J98),2))</x:f>
        <x:v>0</x:v>
      </x:c>
      <x:c r="O98" s="128" t="n">
        <x:v>0</x:v>
      </x:c>
      <x:c r="P98" s="136" t="n">
        <x:f>ROUND(I98+O98,2)</x:f>
        <x:v>0</x:v>
      </x:c>
      <x:c r="Q98" s="123" t="str">
        <x:f>IF(C98=0,"",IF(B98=1,'参数输入'!$B$10,EDATE('参数输入'!$B$24,B98-1)+1))</x:f>
      </x:c>
      <x:c r="R98" s="123" t="str">
        <x:f>IF(C98=0,"",EDATE('参数输入'!$B$24,B98))</x:f>
      </x:c>
    </x:row>
    <x:row r="99">
      <x:c r="A99" s="101" t="str">
        <x:v>V09</x:v>
      </x:c>
      <x:c r="B99" s="101" t="n">
        <x:v>1</x:v>
      </x:c>
      <x:c r="C99" s="101" t="n">
        <x:f>IF(AND(SUM('车辆输入'!$B$13:$F$13)&gt;0,B99&lt;='参数输入'!$B$8),1,0)</x:f>
        <x:v>0</x:v>
      </x:c>
      <x:c r="D99" s="136" t="n">
        <x:f>IF(C99=1,ROUND(MAX('车辆输入'!$M$13-ROUND('车辆输入'!$M$13/'参数输入'!$B$8,2)*(B99-1),0),2),0)</x:f>
        <x:v>0</x:v>
      </x:c>
      <x:c r="E99" s="136" t="n">
        <x:f>IF(AND(C99=1,B99&lt;='参数输入'!$B$9),ROUND(MAX('车辆输入'!$N$13-ROUND('车辆输入'!$N$13/MAX('参数输入'!$B$9,1),2)*(B99-1),0),2),0)</x:f>
        <x:v>0</x:v>
      </x:c>
      <x:c r="F99" s="136" t="n">
        <x:f>ROUND(D99+E99,2)</x:f>
        <x:v>0</x:v>
      </x:c>
      <x:c r="G99" s="136" t="n">
        <x:f>IF(C99=0,0,ROUND(IF(B99='参数输入'!$B$8,D99,MIN(D99,ROUND('车辆输入'!$M$13/'参数输入'!$B$8,2))),2))</x:f>
        <x:v>0</x:v>
      </x:c>
      <x:c r="H99" s="136" t="n">
        <x:f>IF(OR(C99=0,'参数输入'!$B$9=0,B99&gt;'参数输入'!$B$9),0,ROUND(IF(B99='参数输入'!$B$9,E99,MIN(E99,ROUND('车辆输入'!$N$13/'参数输入'!$B$9,2))),2))</x:f>
        <x:v>0</x:v>
      </x:c>
      <x:c r="I99" s="136" t="n">
        <x:f>ROUND(G99+H99,2)</x:f>
        <x:v>0</x:v>
      </x:c>
      <x:c r="J99" s="137" t="n">
        <x:f>IF(C99=1,F99/SUMIFS($F$3:$F$122,$A$3:$A$122,A99,$C$3:$C$122,1),0)</x:f>
        <x:v>0</x:v>
      </x:c>
      <x:c r="K99" s="136" t="n">
        <x:f>IF(C99=1,ROUND('车辆输入'!$K$13+'车辆输入'!$L$13,2),0)</x:f>
        <x:v>0</x:v>
      </x:c>
      <x:c r="L99" s="136" t="n">
        <x:f>IF(C99=1,ROUND(('车辆输入'!$M$13+'车辆输入'!$N$13)*'参数输入'!$B$20,2),0)</x:f>
        <x:v>0</x:v>
      </x:c>
      <x:c r="M99" s="136" t="n">
        <x:f>IF(C99=0,0,ROUND(IF(B99='参数输入'!$B$8,K99-SUMIFS($M$3:$M$122,$A$3:$A$122,A99,$B$3:$B$122,"&lt;"&amp;B99),K99*J99),2))</x:f>
        <x:v>0</x:v>
      </x:c>
      <x:c r="N99" s="136" t="n">
        <x:f>IF(C99=0,0,ROUND(IF(B99='参数输入'!$B$8,L99-SUMIFS($N$3:$N$122,$A$3:$A$122,A99,$B$3:$B$122,"&lt;"&amp;B99),L99*J99),2))</x:f>
        <x:v>0</x:v>
      </x:c>
      <x:c r="O99" s="128" t="n">
        <x:v>0</x:v>
      </x:c>
      <x:c r="P99" s="136" t="n">
        <x:f>ROUND(I99+O99,2)</x:f>
        <x:v>0</x:v>
      </x:c>
      <x:c r="Q99" s="123" t="str">
        <x:f>IF(C99=0,"",IF(B99=1,'参数输入'!$B$10,EDATE('参数输入'!$B$24,B99-1)+1))</x:f>
      </x:c>
      <x:c r="R99" s="123" t="str">
        <x:f>IF(C99=0,"",EDATE('参数输入'!$B$24,B99))</x:f>
      </x:c>
    </x:row>
    <x:row r="100">
      <x:c r="A100" s="101" t="str">
        <x:v>V09</x:v>
      </x:c>
      <x:c r="B100" s="101" t="n">
        <x:v>2</x:v>
      </x:c>
      <x:c r="C100" s="101" t="n">
        <x:f>IF(AND(SUM('车辆输入'!$B$13:$F$13)&gt;0,B100&lt;='参数输入'!$B$8),1,0)</x:f>
        <x:v>0</x:v>
      </x:c>
      <x:c r="D100" s="136" t="n">
        <x:f>IF(C100=1,ROUND(MAX('车辆输入'!$M$13-ROUND('车辆输入'!$M$13/'参数输入'!$B$8,2)*(B100-1),0),2),0)</x:f>
        <x:v>0</x:v>
      </x:c>
      <x:c r="E100" s="136" t="n">
        <x:f>IF(AND(C100=1,B100&lt;='参数输入'!$B$9),ROUND(MAX('车辆输入'!$N$13-ROUND('车辆输入'!$N$13/MAX('参数输入'!$B$9,1),2)*(B100-1),0),2),0)</x:f>
        <x:v>0</x:v>
      </x:c>
      <x:c r="F100" s="136" t="n">
        <x:f>ROUND(D100+E100,2)</x:f>
        <x:v>0</x:v>
      </x:c>
      <x:c r="G100" s="136" t="n">
        <x:f>IF(C100=0,0,ROUND(IF(B100='参数输入'!$B$8,D100,MIN(D100,ROUND('车辆输入'!$M$13/'参数输入'!$B$8,2))),2))</x:f>
        <x:v>0</x:v>
      </x:c>
      <x:c r="H100" s="136" t="n">
        <x:f>IF(OR(C100=0,'参数输入'!$B$9=0,B100&gt;'参数输入'!$B$9),0,ROUND(IF(B100='参数输入'!$B$9,E100,MIN(E100,ROUND('车辆输入'!$N$13/'参数输入'!$B$9,2))),2))</x:f>
        <x:v>0</x:v>
      </x:c>
      <x:c r="I100" s="136" t="n">
        <x:f>ROUND(G100+H100,2)</x:f>
        <x:v>0</x:v>
      </x:c>
      <x:c r="J100" s="137" t="n">
        <x:f>IF(C100=1,F100/SUMIFS($F$3:$F$122,$A$3:$A$122,A100,$C$3:$C$122,1),0)</x:f>
        <x:v>0</x:v>
      </x:c>
      <x:c r="K100" s="136" t="n">
        <x:f>IF(C100=1,ROUND('车辆输入'!$K$13+'车辆输入'!$L$13,2),0)</x:f>
        <x:v>0</x:v>
      </x:c>
      <x:c r="L100" s="136" t="n">
        <x:f>IF(C100=1,ROUND(('车辆输入'!$M$13+'车辆输入'!$N$13)*'参数输入'!$B$20,2),0)</x:f>
        <x:v>0</x:v>
      </x:c>
      <x:c r="M100" s="136" t="n">
        <x:f>IF(C100=0,0,ROUND(IF(B100='参数输入'!$B$8,K100-SUMIFS($M$3:$M$122,$A$3:$A$122,A100,$B$3:$B$122,"&lt;"&amp;B100),K100*J100),2))</x:f>
        <x:v>0</x:v>
      </x:c>
      <x:c r="N100" s="136" t="n">
        <x:f>IF(C100=0,0,ROUND(IF(B100='参数输入'!$B$8,L100-SUMIFS($N$3:$N$122,$A$3:$A$122,A100,$B$3:$B$122,"&lt;"&amp;B100),L100*J100),2))</x:f>
        <x:v>0</x:v>
      </x:c>
      <x:c r="O100" s="128" t="n">
        <x:v>0</x:v>
      </x:c>
      <x:c r="P100" s="136" t="n">
        <x:f>ROUND(I100+O100,2)</x:f>
        <x:v>0</x:v>
      </x:c>
      <x:c r="Q100" s="123" t="str">
        <x:f>IF(C100=0,"",IF(B100=1,'参数输入'!$B$10,EDATE('参数输入'!$B$24,B100-1)+1))</x:f>
      </x:c>
      <x:c r="R100" s="123" t="str">
        <x:f>IF(C100=0,"",EDATE('参数输入'!$B$24,B100))</x:f>
      </x:c>
    </x:row>
    <x:row r="101">
      <x:c r="A101" s="101" t="str">
        <x:v>V09</x:v>
      </x:c>
      <x:c r="B101" s="101" t="n">
        <x:v>3</x:v>
      </x:c>
      <x:c r="C101" s="101" t="n">
        <x:f>IF(AND(SUM('车辆输入'!$B$13:$F$13)&gt;0,B101&lt;='参数输入'!$B$8),1,0)</x:f>
        <x:v>0</x:v>
      </x:c>
      <x:c r="D101" s="136" t="n">
        <x:f>IF(C101=1,ROUND(MAX('车辆输入'!$M$13-ROUND('车辆输入'!$M$13/'参数输入'!$B$8,2)*(B101-1),0),2),0)</x:f>
        <x:v>0</x:v>
      </x:c>
      <x:c r="E101" s="136" t="n">
        <x:f>IF(AND(C101=1,B101&lt;='参数输入'!$B$9),ROUND(MAX('车辆输入'!$N$13-ROUND('车辆输入'!$N$13/MAX('参数输入'!$B$9,1),2)*(B101-1),0),2),0)</x:f>
        <x:v>0</x:v>
      </x:c>
      <x:c r="F101" s="136" t="n">
        <x:f>ROUND(D101+E101,2)</x:f>
        <x:v>0</x:v>
      </x:c>
      <x:c r="G101" s="136" t="n">
        <x:f>IF(C101=0,0,ROUND(IF(B101='参数输入'!$B$8,D101,MIN(D101,ROUND('车辆输入'!$M$13/'参数输入'!$B$8,2))),2))</x:f>
        <x:v>0</x:v>
      </x:c>
      <x:c r="H101" s="136" t="n">
        <x:f>IF(OR(C101=0,'参数输入'!$B$9=0,B101&gt;'参数输入'!$B$9),0,ROUND(IF(B101='参数输入'!$B$9,E101,MIN(E101,ROUND('车辆输入'!$N$13/'参数输入'!$B$9,2))),2))</x:f>
        <x:v>0</x:v>
      </x:c>
      <x:c r="I101" s="136" t="n">
        <x:f>ROUND(G101+H101,2)</x:f>
        <x:v>0</x:v>
      </x:c>
      <x:c r="J101" s="137" t="n">
        <x:f>IF(C101=1,F101/SUMIFS($F$3:$F$122,$A$3:$A$122,A101,$C$3:$C$122,1),0)</x:f>
        <x:v>0</x:v>
      </x:c>
      <x:c r="K101" s="136" t="n">
        <x:f>IF(C101=1,ROUND('车辆输入'!$K$13+'车辆输入'!$L$13,2),0)</x:f>
        <x:v>0</x:v>
      </x:c>
      <x:c r="L101" s="136" t="n">
        <x:f>IF(C101=1,ROUND(('车辆输入'!$M$13+'车辆输入'!$N$13)*'参数输入'!$B$20,2),0)</x:f>
        <x:v>0</x:v>
      </x:c>
      <x:c r="M101" s="136" t="n">
        <x:f>IF(C101=0,0,ROUND(IF(B101='参数输入'!$B$8,K101-SUMIFS($M$3:$M$122,$A$3:$A$122,A101,$B$3:$B$122,"&lt;"&amp;B101),K101*J101),2))</x:f>
        <x:v>0</x:v>
      </x:c>
      <x:c r="N101" s="136" t="n">
        <x:f>IF(C101=0,0,ROUND(IF(B101='参数输入'!$B$8,L101-SUMIFS($N$3:$N$122,$A$3:$A$122,A101,$B$3:$B$122,"&lt;"&amp;B101),L101*J101),2))</x:f>
        <x:v>0</x:v>
      </x:c>
      <x:c r="O101" s="128" t="n">
        <x:v>0</x:v>
      </x:c>
      <x:c r="P101" s="136" t="n">
        <x:f>ROUND(I101+O101,2)</x:f>
        <x:v>0</x:v>
      </x:c>
      <x:c r="Q101" s="123" t="str">
        <x:f>IF(C101=0,"",IF(B101=1,'参数输入'!$B$10,EDATE('参数输入'!$B$24,B101-1)+1))</x:f>
      </x:c>
      <x:c r="R101" s="123" t="str">
        <x:f>IF(C101=0,"",EDATE('参数输入'!$B$24,B101))</x:f>
      </x:c>
    </x:row>
    <x:row r="102">
      <x:c r="A102" s="101" t="str">
        <x:v>V09</x:v>
      </x:c>
      <x:c r="B102" s="101" t="n">
        <x:v>4</x:v>
      </x:c>
      <x:c r="C102" s="101" t="n">
        <x:f>IF(AND(SUM('车辆输入'!$B$13:$F$13)&gt;0,B102&lt;='参数输入'!$B$8),1,0)</x:f>
        <x:v>0</x:v>
      </x:c>
      <x:c r="D102" s="136" t="n">
        <x:f>IF(C102=1,ROUND(MAX('车辆输入'!$M$13-ROUND('车辆输入'!$M$13/'参数输入'!$B$8,2)*(B102-1),0),2),0)</x:f>
        <x:v>0</x:v>
      </x:c>
      <x:c r="E102" s="136" t="n">
        <x:f>IF(AND(C102=1,B102&lt;='参数输入'!$B$9),ROUND(MAX('车辆输入'!$N$13-ROUND('车辆输入'!$N$13/MAX('参数输入'!$B$9,1),2)*(B102-1),0),2),0)</x:f>
        <x:v>0</x:v>
      </x:c>
      <x:c r="F102" s="136" t="n">
        <x:f>ROUND(D102+E102,2)</x:f>
        <x:v>0</x:v>
      </x:c>
      <x:c r="G102" s="136" t="n">
        <x:f>IF(C102=0,0,ROUND(IF(B102='参数输入'!$B$8,D102,MIN(D102,ROUND('车辆输入'!$M$13/'参数输入'!$B$8,2))),2))</x:f>
        <x:v>0</x:v>
      </x:c>
      <x:c r="H102" s="136" t="n">
        <x:f>IF(OR(C102=0,'参数输入'!$B$9=0,B102&gt;'参数输入'!$B$9),0,ROUND(IF(B102='参数输入'!$B$9,E102,MIN(E102,ROUND('车辆输入'!$N$13/'参数输入'!$B$9,2))),2))</x:f>
        <x:v>0</x:v>
      </x:c>
      <x:c r="I102" s="136" t="n">
        <x:f>ROUND(G102+H102,2)</x:f>
        <x:v>0</x:v>
      </x:c>
      <x:c r="J102" s="137" t="n">
        <x:f>IF(C102=1,F102/SUMIFS($F$3:$F$122,$A$3:$A$122,A102,$C$3:$C$122,1),0)</x:f>
        <x:v>0</x:v>
      </x:c>
      <x:c r="K102" s="136" t="n">
        <x:f>IF(C102=1,ROUND('车辆输入'!$K$13+'车辆输入'!$L$13,2),0)</x:f>
        <x:v>0</x:v>
      </x:c>
      <x:c r="L102" s="136" t="n">
        <x:f>IF(C102=1,ROUND(('车辆输入'!$M$13+'车辆输入'!$N$13)*'参数输入'!$B$20,2),0)</x:f>
        <x:v>0</x:v>
      </x:c>
      <x:c r="M102" s="136" t="n">
        <x:f>IF(C102=0,0,ROUND(IF(B102='参数输入'!$B$8,K102-SUMIFS($M$3:$M$122,$A$3:$A$122,A102,$B$3:$B$122,"&lt;"&amp;B102),K102*J102),2))</x:f>
        <x:v>0</x:v>
      </x:c>
      <x:c r="N102" s="136" t="n">
        <x:f>IF(C102=0,0,ROUND(IF(B102='参数输入'!$B$8,L102-SUMIFS($N$3:$N$122,$A$3:$A$122,A102,$B$3:$B$122,"&lt;"&amp;B102),L102*J102),2))</x:f>
        <x:v>0</x:v>
      </x:c>
      <x:c r="O102" s="128" t="n">
        <x:v>0</x:v>
      </x:c>
      <x:c r="P102" s="136" t="n">
        <x:f>ROUND(I102+O102,2)</x:f>
        <x:v>0</x:v>
      </x:c>
      <x:c r="Q102" s="123" t="str">
        <x:f>IF(C102=0,"",IF(B102=1,'参数输入'!$B$10,EDATE('参数输入'!$B$24,B102-1)+1))</x:f>
      </x:c>
      <x:c r="R102" s="123" t="str">
        <x:f>IF(C102=0,"",EDATE('参数输入'!$B$24,B102))</x:f>
      </x:c>
    </x:row>
    <x:row r="103">
      <x:c r="A103" s="101" t="str">
        <x:v>V09</x:v>
      </x:c>
      <x:c r="B103" s="101" t="n">
        <x:v>5</x:v>
      </x:c>
      <x:c r="C103" s="101" t="n">
        <x:f>IF(AND(SUM('车辆输入'!$B$13:$F$13)&gt;0,B103&lt;='参数输入'!$B$8),1,0)</x:f>
        <x:v>0</x:v>
      </x:c>
      <x:c r="D103" s="136" t="n">
        <x:f>IF(C103=1,ROUND(MAX('车辆输入'!$M$13-ROUND('车辆输入'!$M$13/'参数输入'!$B$8,2)*(B103-1),0),2),0)</x:f>
        <x:v>0</x:v>
      </x:c>
      <x:c r="E103" s="136" t="n">
        <x:f>IF(AND(C103=1,B103&lt;='参数输入'!$B$9),ROUND(MAX('车辆输入'!$N$13-ROUND('车辆输入'!$N$13/MAX('参数输入'!$B$9,1),2)*(B103-1),0),2),0)</x:f>
        <x:v>0</x:v>
      </x:c>
      <x:c r="F103" s="136" t="n">
        <x:f>ROUND(D103+E103,2)</x:f>
        <x:v>0</x:v>
      </x:c>
      <x:c r="G103" s="136" t="n">
        <x:f>IF(C103=0,0,ROUND(IF(B103='参数输入'!$B$8,D103,MIN(D103,ROUND('车辆输入'!$M$13/'参数输入'!$B$8,2))),2))</x:f>
        <x:v>0</x:v>
      </x:c>
      <x:c r="H103" s="136" t="n">
        <x:f>IF(OR(C103=0,'参数输入'!$B$9=0,B103&gt;'参数输入'!$B$9),0,ROUND(IF(B103='参数输入'!$B$9,E103,MIN(E103,ROUND('车辆输入'!$N$13/'参数输入'!$B$9,2))),2))</x:f>
        <x:v>0</x:v>
      </x:c>
      <x:c r="I103" s="136" t="n">
        <x:f>ROUND(G103+H103,2)</x:f>
        <x:v>0</x:v>
      </x:c>
      <x:c r="J103" s="137" t="n">
        <x:f>IF(C103=1,F103/SUMIFS($F$3:$F$122,$A$3:$A$122,A103,$C$3:$C$122,1),0)</x:f>
        <x:v>0</x:v>
      </x:c>
      <x:c r="K103" s="136" t="n">
        <x:f>IF(C103=1,ROUND('车辆输入'!$K$13+'车辆输入'!$L$13,2),0)</x:f>
        <x:v>0</x:v>
      </x:c>
      <x:c r="L103" s="136" t="n">
        <x:f>IF(C103=1,ROUND(('车辆输入'!$M$13+'车辆输入'!$N$13)*'参数输入'!$B$20,2),0)</x:f>
        <x:v>0</x:v>
      </x:c>
      <x:c r="M103" s="136" t="n">
        <x:f>IF(C103=0,0,ROUND(IF(B103='参数输入'!$B$8,K103-SUMIFS($M$3:$M$122,$A$3:$A$122,A103,$B$3:$B$122,"&lt;"&amp;B103),K103*J103),2))</x:f>
        <x:v>0</x:v>
      </x:c>
      <x:c r="N103" s="136" t="n">
        <x:f>IF(C103=0,0,ROUND(IF(B103='参数输入'!$B$8,L103-SUMIFS($N$3:$N$122,$A$3:$A$122,A103,$B$3:$B$122,"&lt;"&amp;B103),L103*J103),2))</x:f>
        <x:v>0</x:v>
      </x:c>
      <x:c r="O103" s="128" t="n">
        <x:v>0</x:v>
      </x:c>
      <x:c r="P103" s="136" t="n">
        <x:f>ROUND(I103+O103,2)</x:f>
        <x:v>0</x:v>
      </x:c>
      <x:c r="Q103" s="123" t="str">
        <x:f>IF(C103=0,"",IF(B103=1,'参数输入'!$B$10,EDATE('参数输入'!$B$24,B103-1)+1))</x:f>
      </x:c>
      <x:c r="R103" s="123" t="str">
        <x:f>IF(C103=0,"",EDATE('参数输入'!$B$24,B103))</x:f>
      </x:c>
    </x:row>
    <x:row r="104">
      <x:c r="A104" s="101" t="str">
        <x:v>V09</x:v>
      </x:c>
      <x:c r="B104" s="101" t="n">
        <x:v>6</x:v>
      </x:c>
      <x:c r="C104" s="101" t="n">
        <x:f>IF(AND(SUM('车辆输入'!$B$13:$F$13)&gt;0,B104&lt;='参数输入'!$B$8),1,0)</x:f>
        <x:v>0</x:v>
      </x:c>
      <x:c r="D104" s="136" t="n">
        <x:f>IF(C104=1,ROUND(MAX('车辆输入'!$M$13-ROUND('车辆输入'!$M$13/'参数输入'!$B$8,2)*(B104-1),0),2),0)</x:f>
        <x:v>0</x:v>
      </x:c>
      <x:c r="E104" s="136" t="n">
        <x:f>IF(AND(C104=1,B104&lt;='参数输入'!$B$9),ROUND(MAX('车辆输入'!$N$13-ROUND('车辆输入'!$N$13/MAX('参数输入'!$B$9,1),2)*(B104-1),0),2),0)</x:f>
        <x:v>0</x:v>
      </x:c>
      <x:c r="F104" s="136" t="n">
        <x:f>ROUND(D104+E104,2)</x:f>
        <x:v>0</x:v>
      </x:c>
      <x:c r="G104" s="136" t="n">
        <x:f>IF(C104=0,0,ROUND(IF(B104='参数输入'!$B$8,D104,MIN(D104,ROUND('车辆输入'!$M$13/'参数输入'!$B$8,2))),2))</x:f>
        <x:v>0</x:v>
      </x:c>
      <x:c r="H104" s="136" t="n">
        <x:f>IF(OR(C104=0,'参数输入'!$B$9=0,B104&gt;'参数输入'!$B$9),0,ROUND(IF(B104='参数输入'!$B$9,E104,MIN(E104,ROUND('车辆输入'!$N$13/'参数输入'!$B$9,2))),2))</x:f>
        <x:v>0</x:v>
      </x:c>
      <x:c r="I104" s="136" t="n">
        <x:f>ROUND(G104+H104,2)</x:f>
        <x:v>0</x:v>
      </x:c>
      <x:c r="J104" s="137" t="n">
        <x:f>IF(C104=1,F104/SUMIFS($F$3:$F$122,$A$3:$A$122,A104,$C$3:$C$122,1),0)</x:f>
        <x:v>0</x:v>
      </x:c>
      <x:c r="K104" s="136" t="n">
        <x:f>IF(C104=1,ROUND('车辆输入'!$K$13+'车辆输入'!$L$13,2),0)</x:f>
        <x:v>0</x:v>
      </x:c>
      <x:c r="L104" s="136" t="n">
        <x:f>IF(C104=1,ROUND(('车辆输入'!$M$13+'车辆输入'!$N$13)*'参数输入'!$B$20,2),0)</x:f>
        <x:v>0</x:v>
      </x:c>
      <x:c r="M104" s="136" t="n">
        <x:f>IF(C104=0,0,ROUND(IF(B104='参数输入'!$B$8,K104-SUMIFS($M$3:$M$122,$A$3:$A$122,A104,$B$3:$B$122,"&lt;"&amp;B104),K104*J104),2))</x:f>
        <x:v>0</x:v>
      </x:c>
      <x:c r="N104" s="136" t="n">
        <x:f>IF(C104=0,0,ROUND(IF(B104='参数输入'!$B$8,L104-SUMIFS($N$3:$N$122,$A$3:$A$122,A104,$B$3:$B$122,"&lt;"&amp;B104),L104*J104),2))</x:f>
        <x:v>0</x:v>
      </x:c>
      <x:c r="O104" s="128" t="n">
        <x:v>0</x:v>
      </x:c>
      <x:c r="P104" s="136" t="n">
        <x:f>ROUND(I104+O104,2)</x:f>
        <x:v>0</x:v>
      </x:c>
      <x:c r="Q104" s="123" t="str">
        <x:f>IF(C104=0,"",IF(B104=1,'参数输入'!$B$10,EDATE('参数输入'!$B$24,B104-1)+1))</x:f>
      </x:c>
      <x:c r="R104" s="123" t="str">
        <x:f>IF(C104=0,"",EDATE('参数输入'!$B$24,B104))</x:f>
      </x:c>
    </x:row>
    <x:row r="105">
      <x:c r="A105" s="101" t="str">
        <x:v>V09</x:v>
      </x:c>
      <x:c r="B105" s="101" t="n">
        <x:v>7</x:v>
      </x:c>
      <x:c r="C105" s="101" t="n">
        <x:f>IF(AND(SUM('车辆输入'!$B$13:$F$13)&gt;0,B105&lt;='参数输入'!$B$8),1,0)</x:f>
        <x:v>0</x:v>
      </x:c>
      <x:c r="D105" s="136" t="n">
        <x:f>IF(C105=1,ROUND(MAX('车辆输入'!$M$13-ROUND('车辆输入'!$M$13/'参数输入'!$B$8,2)*(B105-1),0),2),0)</x:f>
        <x:v>0</x:v>
      </x:c>
      <x:c r="E105" s="136" t="n">
        <x:f>IF(AND(C105=1,B105&lt;='参数输入'!$B$9),ROUND(MAX('车辆输入'!$N$13-ROUND('车辆输入'!$N$13/MAX('参数输入'!$B$9,1),2)*(B105-1),0),2),0)</x:f>
        <x:v>0</x:v>
      </x:c>
      <x:c r="F105" s="136" t="n">
        <x:f>ROUND(D105+E105,2)</x:f>
        <x:v>0</x:v>
      </x:c>
      <x:c r="G105" s="136" t="n">
        <x:f>IF(C105=0,0,ROUND(IF(B105='参数输入'!$B$8,D105,MIN(D105,ROUND('车辆输入'!$M$13/'参数输入'!$B$8,2))),2))</x:f>
        <x:v>0</x:v>
      </x:c>
      <x:c r="H105" s="136" t="n">
        <x:f>IF(OR(C105=0,'参数输入'!$B$9=0,B105&gt;'参数输入'!$B$9),0,ROUND(IF(B105='参数输入'!$B$9,E105,MIN(E105,ROUND('车辆输入'!$N$13/'参数输入'!$B$9,2))),2))</x:f>
        <x:v>0</x:v>
      </x:c>
      <x:c r="I105" s="136" t="n">
        <x:f>ROUND(G105+H105,2)</x:f>
        <x:v>0</x:v>
      </x:c>
      <x:c r="J105" s="137" t="n">
        <x:f>IF(C105=1,F105/SUMIFS($F$3:$F$122,$A$3:$A$122,A105,$C$3:$C$122,1),0)</x:f>
        <x:v>0</x:v>
      </x:c>
      <x:c r="K105" s="136" t="n">
        <x:f>IF(C105=1,ROUND('车辆输入'!$K$13+'车辆输入'!$L$13,2),0)</x:f>
        <x:v>0</x:v>
      </x:c>
      <x:c r="L105" s="136" t="n">
        <x:f>IF(C105=1,ROUND(('车辆输入'!$M$13+'车辆输入'!$N$13)*'参数输入'!$B$20,2),0)</x:f>
        <x:v>0</x:v>
      </x:c>
      <x:c r="M105" s="136" t="n">
        <x:f>IF(C105=0,0,ROUND(IF(B105='参数输入'!$B$8,K105-SUMIFS($M$3:$M$122,$A$3:$A$122,A105,$B$3:$B$122,"&lt;"&amp;B105),K105*J105),2))</x:f>
        <x:v>0</x:v>
      </x:c>
      <x:c r="N105" s="136" t="n">
        <x:f>IF(C105=0,0,ROUND(IF(B105='参数输入'!$B$8,L105-SUMIFS($N$3:$N$122,$A$3:$A$122,A105,$B$3:$B$122,"&lt;"&amp;B105),L105*J105),2))</x:f>
        <x:v>0</x:v>
      </x:c>
      <x:c r="O105" s="128" t="n">
        <x:v>0</x:v>
      </x:c>
      <x:c r="P105" s="136" t="n">
        <x:f>ROUND(I105+O105,2)</x:f>
        <x:v>0</x:v>
      </x:c>
      <x:c r="Q105" s="123" t="str">
        <x:f>IF(C105=0,"",IF(B105=1,'参数输入'!$B$10,EDATE('参数输入'!$B$24,B105-1)+1))</x:f>
      </x:c>
      <x:c r="R105" s="123" t="str">
        <x:f>IF(C105=0,"",EDATE('参数输入'!$B$24,B105))</x:f>
      </x:c>
    </x:row>
    <x:row r="106">
      <x:c r="A106" s="101" t="str">
        <x:v>V09</x:v>
      </x:c>
      <x:c r="B106" s="101" t="n">
        <x:v>8</x:v>
      </x:c>
      <x:c r="C106" s="101" t="n">
        <x:f>IF(AND(SUM('车辆输入'!$B$13:$F$13)&gt;0,B106&lt;='参数输入'!$B$8),1,0)</x:f>
        <x:v>0</x:v>
      </x:c>
      <x:c r="D106" s="136" t="n">
        <x:f>IF(C106=1,ROUND(MAX('车辆输入'!$M$13-ROUND('车辆输入'!$M$13/'参数输入'!$B$8,2)*(B106-1),0),2),0)</x:f>
        <x:v>0</x:v>
      </x:c>
      <x:c r="E106" s="136" t="n">
        <x:f>IF(AND(C106=1,B106&lt;='参数输入'!$B$9),ROUND(MAX('车辆输入'!$N$13-ROUND('车辆输入'!$N$13/MAX('参数输入'!$B$9,1),2)*(B106-1),0),2),0)</x:f>
        <x:v>0</x:v>
      </x:c>
      <x:c r="F106" s="136" t="n">
        <x:f>ROUND(D106+E106,2)</x:f>
        <x:v>0</x:v>
      </x:c>
      <x:c r="G106" s="136" t="n">
        <x:f>IF(C106=0,0,ROUND(IF(B106='参数输入'!$B$8,D106,MIN(D106,ROUND('车辆输入'!$M$13/'参数输入'!$B$8,2))),2))</x:f>
        <x:v>0</x:v>
      </x:c>
      <x:c r="H106" s="136" t="n">
        <x:f>IF(OR(C106=0,'参数输入'!$B$9=0,B106&gt;'参数输入'!$B$9),0,ROUND(IF(B106='参数输入'!$B$9,E106,MIN(E106,ROUND('车辆输入'!$N$13/'参数输入'!$B$9,2))),2))</x:f>
        <x:v>0</x:v>
      </x:c>
      <x:c r="I106" s="136" t="n">
        <x:f>ROUND(G106+H106,2)</x:f>
        <x:v>0</x:v>
      </x:c>
      <x:c r="J106" s="137" t="n">
        <x:f>IF(C106=1,F106/SUMIFS($F$3:$F$122,$A$3:$A$122,A106,$C$3:$C$122,1),0)</x:f>
        <x:v>0</x:v>
      </x:c>
      <x:c r="K106" s="136" t="n">
        <x:f>IF(C106=1,ROUND('车辆输入'!$K$13+'车辆输入'!$L$13,2),0)</x:f>
        <x:v>0</x:v>
      </x:c>
      <x:c r="L106" s="136" t="n">
        <x:f>IF(C106=1,ROUND(('车辆输入'!$M$13+'车辆输入'!$N$13)*'参数输入'!$B$20,2),0)</x:f>
        <x:v>0</x:v>
      </x:c>
      <x:c r="M106" s="136" t="n">
        <x:f>IF(C106=0,0,ROUND(IF(B106='参数输入'!$B$8,K106-SUMIFS($M$3:$M$122,$A$3:$A$122,A106,$B$3:$B$122,"&lt;"&amp;B106),K106*J106),2))</x:f>
        <x:v>0</x:v>
      </x:c>
      <x:c r="N106" s="136" t="n">
        <x:f>IF(C106=0,0,ROUND(IF(B106='参数输入'!$B$8,L106-SUMIFS($N$3:$N$122,$A$3:$A$122,A106,$B$3:$B$122,"&lt;"&amp;B106),L106*J106),2))</x:f>
        <x:v>0</x:v>
      </x:c>
      <x:c r="O106" s="128" t="n">
        <x:v>0</x:v>
      </x:c>
      <x:c r="P106" s="136" t="n">
        <x:f>ROUND(I106+O106,2)</x:f>
        <x:v>0</x:v>
      </x:c>
      <x:c r="Q106" s="123" t="str">
        <x:f>IF(C106=0,"",IF(B106=1,'参数输入'!$B$10,EDATE('参数输入'!$B$24,B106-1)+1))</x:f>
      </x:c>
      <x:c r="R106" s="123" t="str">
        <x:f>IF(C106=0,"",EDATE('参数输入'!$B$24,B106))</x:f>
      </x:c>
    </x:row>
    <x:row r="107">
      <x:c r="A107" s="101" t="str">
        <x:v>V09</x:v>
      </x:c>
      <x:c r="B107" s="101" t="n">
        <x:v>9</x:v>
      </x:c>
      <x:c r="C107" s="101" t="n">
        <x:f>IF(AND(SUM('车辆输入'!$B$13:$F$13)&gt;0,B107&lt;='参数输入'!$B$8),1,0)</x:f>
        <x:v>0</x:v>
      </x:c>
      <x:c r="D107" s="136" t="n">
        <x:f>IF(C107=1,ROUND(MAX('车辆输入'!$M$13-ROUND('车辆输入'!$M$13/'参数输入'!$B$8,2)*(B107-1),0),2),0)</x:f>
        <x:v>0</x:v>
      </x:c>
      <x:c r="E107" s="136" t="n">
        <x:f>IF(AND(C107=1,B107&lt;='参数输入'!$B$9),ROUND(MAX('车辆输入'!$N$13-ROUND('车辆输入'!$N$13/MAX('参数输入'!$B$9,1),2)*(B107-1),0),2),0)</x:f>
        <x:v>0</x:v>
      </x:c>
      <x:c r="F107" s="136" t="n">
        <x:f>ROUND(D107+E107,2)</x:f>
        <x:v>0</x:v>
      </x:c>
      <x:c r="G107" s="136" t="n">
        <x:f>IF(C107=0,0,ROUND(IF(B107='参数输入'!$B$8,D107,MIN(D107,ROUND('车辆输入'!$M$13/'参数输入'!$B$8,2))),2))</x:f>
        <x:v>0</x:v>
      </x:c>
      <x:c r="H107" s="136" t="n">
        <x:f>IF(OR(C107=0,'参数输入'!$B$9=0,B107&gt;'参数输入'!$B$9),0,ROUND(IF(B107='参数输入'!$B$9,E107,MIN(E107,ROUND('车辆输入'!$N$13/'参数输入'!$B$9,2))),2))</x:f>
        <x:v>0</x:v>
      </x:c>
      <x:c r="I107" s="136" t="n">
        <x:f>ROUND(G107+H107,2)</x:f>
        <x:v>0</x:v>
      </x:c>
      <x:c r="J107" s="137" t="n">
        <x:f>IF(C107=1,F107/SUMIFS($F$3:$F$122,$A$3:$A$122,A107,$C$3:$C$122,1),0)</x:f>
        <x:v>0</x:v>
      </x:c>
      <x:c r="K107" s="136" t="n">
        <x:f>IF(C107=1,ROUND('车辆输入'!$K$13+'车辆输入'!$L$13,2),0)</x:f>
        <x:v>0</x:v>
      </x:c>
      <x:c r="L107" s="136" t="n">
        <x:f>IF(C107=1,ROUND(('车辆输入'!$M$13+'车辆输入'!$N$13)*'参数输入'!$B$20,2),0)</x:f>
        <x:v>0</x:v>
      </x:c>
      <x:c r="M107" s="136" t="n">
        <x:f>IF(C107=0,0,ROUND(IF(B107='参数输入'!$B$8,K107-SUMIFS($M$3:$M$122,$A$3:$A$122,A107,$B$3:$B$122,"&lt;"&amp;B107),K107*J107),2))</x:f>
        <x:v>0</x:v>
      </x:c>
      <x:c r="N107" s="136" t="n">
        <x:f>IF(C107=0,0,ROUND(IF(B107='参数输入'!$B$8,L107-SUMIFS($N$3:$N$122,$A$3:$A$122,A107,$B$3:$B$122,"&lt;"&amp;B107),L107*J107),2))</x:f>
        <x:v>0</x:v>
      </x:c>
      <x:c r="O107" s="128" t="n">
        <x:v>0</x:v>
      </x:c>
      <x:c r="P107" s="136" t="n">
        <x:f>ROUND(I107+O107,2)</x:f>
        <x:v>0</x:v>
      </x:c>
      <x:c r="Q107" s="123" t="str">
        <x:f>IF(C107=0,"",IF(B107=1,'参数输入'!$B$10,EDATE('参数输入'!$B$24,B107-1)+1))</x:f>
      </x:c>
      <x:c r="R107" s="123" t="str">
        <x:f>IF(C107=0,"",EDATE('参数输入'!$B$24,B107))</x:f>
      </x:c>
    </x:row>
    <x:row r="108">
      <x:c r="A108" s="101" t="str">
        <x:v>V09</x:v>
      </x:c>
      <x:c r="B108" s="101" t="n">
        <x:v>10</x:v>
      </x:c>
      <x:c r="C108" s="101" t="n">
        <x:f>IF(AND(SUM('车辆输入'!$B$13:$F$13)&gt;0,B108&lt;='参数输入'!$B$8),1,0)</x:f>
        <x:v>0</x:v>
      </x:c>
      <x:c r="D108" s="136" t="n">
        <x:f>IF(C108=1,ROUND(MAX('车辆输入'!$M$13-ROUND('车辆输入'!$M$13/'参数输入'!$B$8,2)*(B108-1),0),2),0)</x:f>
        <x:v>0</x:v>
      </x:c>
      <x:c r="E108" s="136" t="n">
        <x:f>IF(AND(C108=1,B108&lt;='参数输入'!$B$9),ROUND(MAX('车辆输入'!$N$13-ROUND('车辆输入'!$N$13/MAX('参数输入'!$B$9,1),2)*(B108-1),0),2),0)</x:f>
        <x:v>0</x:v>
      </x:c>
      <x:c r="F108" s="136" t="n">
        <x:f>ROUND(D108+E108,2)</x:f>
        <x:v>0</x:v>
      </x:c>
      <x:c r="G108" s="136" t="n">
        <x:f>IF(C108=0,0,ROUND(IF(B108='参数输入'!$B$8,D108,MIN(D108,ROUND('车辆输入'!$M$13/'参数输入'!$B$8,2))),2))</x:f>
        <x:v>0</x:v>
      </x:c>
      <x:c r="H108" s="136" t="n">
        <x:f>IF(OR(C108=0,'参数输入'!$B$9=0,B108&gt;'参数输入'!$B$9),0,ROUND(IF(B108='参数输入'!$B$9,E108,MIN(E108,ROUND('车辆输入'!$N$13/'参数输入'!$B$9,2))),2))</x:f>
        <x:v>0</x:v>
      </x:c>
      <x:c r="I108" s="136" t="n">
        <x:f>ROUND(G108+H108,2)</x:f>
        <x:v>0</x:v>
      </x:c>
      <x:c r="J108" s="137" t="n">
        <x:f>IF(C108=1,F108/SUMIFS($F$3:$F$122,$A$3:$A$122,A108,$C$3:$C$122,1),0)</x:f>
        <x:v>0</x:v>
      </x:c>
      <x:c r="K108" s="136" t="n">
        <x:f>IF(C108=1,ROUND('车辆输入'!$K$13+'车辆输入'!$L$13,2),0)</x:f>
        <x:v>0</x:v>
      </x:c>
      <x:c r="L108" s="136" t="n">
        <x:f>IF(C108=1,ROUND(('车辆输入'!$M$13+'车辆输入'!$N$13)*'参数输入'!$B$20,2),0)</x:f>
        <x:v>0</x:v>
      </x:c>
      <x:c r="M108" s="136" t="n">
        <x:f>IF(C108=0,0,ROUND(IF(B108='参数输入'!$B$8,K108-SUMIFS($M$3:$M$122,$A$3:$A$122,A108,$B$3:$B$122,"&lt;"&amp;B108),K108*J108),2))</x:f>
        <x:v>0</x:v>
      </x:c>
      <x:c r="N108" s="136" t="n">
        <x:f>IF(C108=0,0,ROUND(IF(B108='参数输入'!$B$8,L108-SUMIFS($N$3:$N$122,$A$3:$A$122,A108,$B$3:$B$122,"&lt;"&amp;B108),L108*J108),2))</x:f>
        <x:v>0</x:v>
      </x:c>
      <x:c r="O108" s="128" t="n">
        <x:v>0</x:v>
      </x:c>
      <x:c r="P108" s="136" t="n">
        <x:f>ROUND(I108+O108,2)</x:f>
        <x:v>0</x:v>
      </x:c>
      <x:c r="Q108" s="123" t="str">
        <x:f>IF(C108=0,"",IF(B108=1,'参数输入'!$B$10,EDATE('参数输入'!$B$24,B108-1)+1))</x:f>
      </x:c>
      <x:c r="R108" s="123" t="str">
        <x:f>IF(C108=0,"",EDATE('参数输入'!$B$24,B108))</x:f>
      </x:c>
    </x:row>
    <x:row r="109">
      <x:c r="A109" s="101" t="str">
        <x:v>V09</x:v>
      </x:c>
      <x:c r="B109" s="101" t="n">
        <x:v>11</x:v>
      </x:c>
      <x:c r="C109" s="101" t="n">
        <x:f>IF(AND(SUM('车辆输入'!$B$13:$F$13)&gt;0,B109&lt;='参数输入'!$B$8),1,0)</x:f>
        <x:v>0</x:v>
      </x:c>
      <x:c r="D109" s="136" t="n">
        <x:f>IF(C109=1,ROUND(MAX('车辆输入'!$M$13-ROUND('车辆输入'!$M$13/'参数输入'!$B$8,2)*(B109-1),0),2),0)</x:f>
        <x:v>0</x:v>
      </x:c>
      <x:c r="E109" s="136" t="n">
        <x:f>IF(AND(C109=1,B109&lt;='参数输入'!$B$9),ROUND(MAX('车辆输入'!$N$13-ROUND('车辆输入'!$N$13/MAX('参数输入'!$B$9,1),2)*(B109-1),0),2),0)</x:f>
        <x:v>0</x:v>
      </x:c>
      <x:c r="F109" s="136" t="n">
        <x:f>ROUND(D109+E109,2)</x:f>
        <x:v>0</x:v>
      </x:c>
      <x:c r="G109" s="136" t="n">
        <x:f>IF(C109=0,0,ROUND(IF(B109='参数输入'!$B$8,D109,MIN(D109,ROUND('车辆输入'!$M$13/'参数输入'!$B$8,2))),2))</x:f>
        <x:v>0</x:v>
      </x:c>
      <x:c r="H109" s="136" t="n">
        <x:f>IF(OR(C109=0,'参数输入'!$B$9=0,B109&gt;'参数输入'!$B$9),0,ROUND(IF(B109='参数输入'!$B$9,E109,MIN(E109,ROUND('车辆输入'!$N$13/'参数输入'!$B$9,2))),2))</x:f>
        <x:v>0</x:v>
      </x:c>
      <x:c r="I109" s="136" t="n">
        <x:f>ROUND(G109+H109,2)</x:f>
        <x:v>0</x:v>
      </x:c>
      <x:c r="J109" s="137" t="n">
        <x:f>IF(C109=1,F109/SUMIFS($F$3:$F$122,$A$3:$A$122,A109,$C$3:$C$122,1),0)</x:f>
        <x:v>0</x:v>
      </x:c>
      <x:c r="K109" s="136" t="n">
        <x:f>IF(C109=1,ROUND('车辆输入'!$K$13+'车辆输入'!$L$13,2),0)</x:f>
        <x:v>0</x:v>
      </x:c>
      <x:c r="L109" s="136" t="n">
        <x:f>IF(C109=1,ROUND(('车辆输入'!$M$13+'车辆输入'!$N$13)*'参数输入'!$B$20,2),0)</x:f>
        <x:v>0</x:v>
      </x:c>
      <x:c r="M109" s="136" t="n">
        <x:f>IF(C109=0,0,ROUND(IF(B109='参数输入'!$B$8,K109-SUMIFS($M$3:$M$122,$A$3:$A$122,A109,$B$3:$B$122,"&lt;"&amp;B109),K109*J109),2))</x:f>
        <x:v>0</x:v>
      </x:c>
      <x:c r="N109" s="136" t="n">
        <x:f>IF(C109=0,0,ROUND(IF(B109='参数输入'!$B$8,L109-SUMIFS($N$3:$N$122,$A$3:$A$122,A109,$B$3:$B$122,"&lt;"&amp;B109),L109*J109),2))</x:f>
        <x:v>0</x:v>
      </x:c>
      <x:c r="O109" s="128" t="n">
        <x:v>0</x:v>
      </x:c>
      <x:c r="P109" s="136" t="n">
        <x:f>ROUND(I109+O109,2)</x:f>
        <x:v>0</x:v>
      </x:c>
      <x:c r="Q109" s="123" t="str">
        <x:f>IF(C109=0,"",IF(B109=1,'参数输入'!$B$10,EDATE('参数输入'!$B$24,B109-1)+1))</x:f>
      </x:c>
      <x:c r="R109" s="123" t="str">
        <x:f>IF(C109=0,"",EDATE('参数输入'!$B$24,B109))</x:f>
      </x:c>
    </x:row>
    <x:row r="110">
      <x:c r="A110" s="101" t="str">
        <x:v>V09</x:v>
      </x:c>
      <x:c r="B110" s="101" t="n">
        <x:v>12</x:v>
      </x:c>
      <x:c r="C110" s="101" t="n">
        <x:f>IF(AND(SUM('车辆输入'!$B$13:$F$13)&gt;0,B110&lt;='参数输入'!$B$8),1,0)</x:f>
        <x:v>0</x:v>
      </x:c>
      <x:c r="D110" s="136" t="n">
        <x:f>IF(C110=1,ROUND(MAX('车辆输入'!$M$13-ROUND('车辆输入'!$M$13/'参数输入'!$B$8,2)*(B110-1),0),2),0)</x:f>
        <x:v>0</x:v>
      </x:c>
      <x:c r="E110" s="136" t="n">
        <x:f>IF(AND(C110=1,B110&lt;='参数输入'!$B$9),ROUND(MAX('车辆输入'!$N$13-ROUND('车辆输入'!$N$13/MAX('参数输入'!$B$9,1),2)*(B110-1),0),2),0)</x:f>
        <x:v>0</x:v>
      </x:c>
      <x:c r="F110" s="136" t="n">
        <x:f>ROUND(D110+E110,2)</x:f>
        <x:v>0</x:v>
      </x:c>
      <x:c r="G110" s="136" t="n">
        <x:f>IF(C110=0,0,ROUND(IF(B110='参数输入'!$B$8,D110,MIN(D110,ROUND('车辆输入'!$M$13/'参数输入'!$B$8,2))),2))</x:f>
        <x:v>0</x:v>
      </x:c>
      <x:c r="H110" s="136" t="n">
        <x:f>IF(OR(C110=0,'参数输入'!$B$9=0,B110&gt;'参数输入'!$B$9),0,ROUND(IF(B110='参数输入'!$B$9,E110,MIN(E110,ROUND('车辆输入'!$N$13/'参数输入'!$B$9,2))),2))</x:f>
        <x:v>0</x:v>
      </x:c>
      <x:c r="I110" s="136" t="n">
        <x:f>ROUND(G110+H110,2)</x:f>
        <x:v>0</x:v>
      </x:c>
      <x:c r="J110" s="137" t="n">
        <x:f>IF(C110=1,F110/SUMIFS($F$3:$F$122,$A$3:$A$122,A110,$C$3:$C$122,1),0)</x:f>
        <x:v>0</x:v>
      </x:c>
      <x:c r="K110" s="136" t="n">
        <x:f>IF(C110=1,ROUND('车辆输入'!$K$13+'车辆输入'!$L$13,2),0)</x:f>
        <x:v>0</x:v>
      </x:c>
      <x:c r="L110" s="136" t="n">
        <x:f>IF(C110=1,ROUND(('车辆输入'!$M$13+'车辆输入'!$N$13)*'参数输入'!$B$20,2),0)</x:f>
        <x:v>0</x:v>
      </x:c>
      <x:c r="M110" s="136" t="n">
        <x:f>IF(C110=0,0,ROUND(IF(B110='参数输入'!$B$8,K110-SUMIFS($M$3:$M$122,$A$3:$A$122,A110,$B$3:$B$122,"&lt;"&amp;B110),K110*J110),2))</x:f>
        <x:v>0</x:v>
      </x:c>
      <x:c r="N110" s="136" t="n">
        <x:f>IF(C110=0,0,ROUND(IF(B110='参数输入'!$B$8,L110-SUMIFS($N$3:$N$122,$A$3:$A$122,A110,$B$3:$B$122,"&lt;"&amp;B110),L110*J110),2))</x:f>
        <x:v>0</x:v>
      </x:c>
      <x:c r="O110" s="128" t="n">
        <x:v>0</x:v>
      </x:c>
      <x:c r="P110" s="136" t="n">
        <x:f>ROUND(I110+O110,2)</x:f>
        <x:v>0</x:v>
      </x:c>
      <x:c r="Q110" s="123" t="str">
        <x:f>IF(C110=0,"",IF(B110=1,'参数输入'!$B$10,EDATE('参数输入'!$B$24,B110-1)+1))</x:f>
      </x:c>
      <x:c r="R110" s="123" t="str">
        <x:f>IF(C110=0,"",EDATE('参数输入'!$B$24,B110))</x:f>
      </x:c>
    </x:row>
    <x:row r="111">
      <x:c r="A111" s="101" t="str">
        <x:v>V10</x:v>
      </x:c>
      <x:c r="B111" s="101" t="n">
        <x:v>1</x:v>
      </x:c>
      <x:c r="C111" s="101" t="n">
        <x:f>IF(AND(SUM('车辆输入'!$B$14:$F$14)&gt;0,B111&lt;='参数输入'!$B$8),1,0)</x:f>
        <x:v>0</x:v>
      </x:c>
      <x:c r="D111" s="136" t="n">
        <x:f>IF(C111=1,ROUND(MAX('车辆输入'!$M$14-ROUND('车辆输入'!$M$14/'参数输入'!$B$8,2)*(B111-1),0),2),0)</x:f>
        <x:v>0</x:v>
      </x:c>
      <x:c r="E111" s="136" t="n">
        <x:f>IF(AND(C111=1,B111&lt;='参数输入'!$B$9),ROUND(MAX('车辆输入'!$N$14-ROUND('车辆输入'!$N$14/MAX('参数输入'!$B$9,1),2)*(B111-1),0),2),0)</x:f>
        <x:v>0</x:v>
      </x:c>
      <x:c r="F111" s="136" t="n">
        <x:f>ROUND(D111+E111,2)</x:f>
        <x:v>0</x:v>
      </x:c>
      <x:c r="G111" s="136" t="n">
        <x:f>IF(C111=0,0,ROUND(IF(B111='参数输入'!$B$8,D111,MIN(D111,ROUND('车辆输入'!$M$14/'参数输入'!$B$8,2))),2))</x:f>
        <x:v>0</x:v>
      </x:c>
      <x:c r="H111" s="136" t="n">
        <x:f>IF(OR(C111=0,'参数输入'!$B$9=0,B111&gt;'参数输入'!$B$9),0,ROUND(IF(B111='参数输入'!$B$9,E111,MIN(E111,ROUND('车辆输入'!$N$14/'参数输入'!$B$9,2))),2))</x:f>
        <x:v>0</x:v>
      </x:c>
      <x:c r="I111" s="136" t="n">
        <x:f>ROUND(G111+H111,2)</x:f>
        <x:v>0</x:v>
      </x:c>
      <x:c r="J111" s="137" t="n">
        <x:f>IF(C111=1,F111/SUMIFS($F$3:$F$122,$A$3:$A$122,A111,$C$3:$C$122,1),0)</x:f>
        <x:v>0</x:v>
      </x:c>
      <x:c r="K111" s="136" t="n">
        <x:f>IF(C111=1,ROUND('车辆输入'!$K$14+'车辆输入'!$L$14,2),0)</x:f>
        <x:v>0</x:v>
      </x:c>
      <x:c r="L111" s="136" t="n">
        <x:f>IF(C111=1,ROUND(('车辆输入'!$M$14+'车辆输入'!$N$14)*'参数输入'!$B$20,2),0)</x:f>
        <x:v>0</x:v>
      </x:c>
      <x:c r="M111" s="136" t="n">
        <x:f>IF(C111=0,0,ROUND(IF(B111='参数输入'!$B$8,K111-SUMIFS($M$3:$M$122,$A$3:$A$122,A111,$B$3:$B$122,"&lt;"&amp;B111),K111*J111),2))</x:f>
        <x:v>0</x:v>
      </x:c>
      <x:c r="N111" s="136" t="n">
        <x:f>IF(C111=0,0,ROUND(IF(B111='参数输入'!$B$8,L111-SUMIFS($N$3:$N$122,$A$3:$A$122,A111,$B$3:$B$122,"&lt;"&amp;B111),L111*J111),2))</x:f>
        <x:v>0</x:v>
      </x:c>
      <x:c r="O111" s="128" t="n">
        <x:v>0</x:v>
      </x:c>
      <x:c r="P111" s="136" t="n">
        <x:f>ROUND(I111+O111,2)</x:f>
        <x:v>0</x:v>
      </x:c>
      <x:c r="Q111" s="123" t="str">
        <x:f>IF(C111=0,"",IF(B111=1,'参数输入'!$B$10,EDATE('参数输入'!$B$24,B111-1)+1))</x:f>
      </x:c>
      <x:c r="R111" s="123" t="str">
        <x:f>IF(C111=0,"",EDATE('参数输入'!$B$24,B111))</x:f>
      </x:c>
    </x:row>
    <x:row r="112">
      <x:c r="A112" s="101" t="str">
        <x:v>V10</x:v>
      </x:c>
      <x:c r="B112" s="101" t="n">
        <x:v>2</x:v>
      </x:c>
      <x:c r="C112" s="101" t="n">
        <x:f>IF(AND(SUM('车辆输入'!$B$14:$F$14)&gt;0,B112&lt;='参数输入'!$B$8),1,0)</x:f>
        <x:v>0</x:v>
      </x:c>
      <x:c r="D112" s="136" t="n">
        <x:f>IF(C112=1,ROUND(MAX('车辆输入'!$M$14-ROUND('车辆输入'!$M$14/'参数输入'!$B$8,2)*(B112-1),0),2),0)</x:f>
        <x:v>0</x:v>
      </x:c>
      <x:c r="E112" s="136" t="n">
        <x:f>IF(AND(C112=1,B112&lt;='参数输入'!$B$9),ROUND(MAX('车辆输入'!$N$14-ROUND('车辆输入'!$N$14/MAX('参数输入'!$B$9,1),2)*(B112-1),0),2),0)</x:f>
        <x:v>0</x:v>
      </x:c>
      <x:c r="F112" s="136" t="n">
        <x:f>ROUND(D112+E112,2)</x:f>
        <x:v>0</x:v>
      </x:c>
      <x:c r="G112" s="136" t="n">
        <x:f>IF(C112=0,0,ROUND(IF(B112='参数输入'!$B$8,D112,MIN(D112,ROUND('车辆输入'!$M$14/'参数输入'!$B$8,2))),2))</x:f>
        <x:v>0</x:v>
      </x:c>
      <x:c r="H112" s="136" t="n">
        <x:f>IF(OR(C112=0,'参数输入'!$B$9=0,B112&gt;'参数输入'!$B$9),0,ROUND(IF(B112='参数输入'!$B$9,E112,MIN(E112,ROUND('车辆输入'!$N$14/'参数输入'!$B$9,2))),2))</x:f>
        <x:v>0</x:v>
      </x:c>
      <x:c r="I112" s="136" t="n">
        <x:f>ROUND(G112+H112,2)</x:f>
        <x:v>0</x:v>
      </x:c>
      <x:c r="J112" s="137" t="n">
        <x:f>IF(C112=1,F112/SUMIFS($F$3:$F$122,$A$3:$A$122,A112,$C$3:$C$122,1),0)</x:f>
        <x:v>0</x:v>
      </x:c>
      <x:c r="K112" s="136" t="n">
        <x:f>IF(C112=1,ROUND('车辆输入'!$K$14+'车辆输入'!$L$14,2),0)</x:f>
        <x:v>0</x:v>
      </x:c>
      <x:c r="L112" s="136" t="n">
        <x:f>IF(C112=1,ROUND(('车辆输入'!$M$14+'车辆输入'!$N$14)*'参数输入'!$B$20,2),0)</x:f>
        <x:v>0</x:v>
      </x:c>
      <x:c r="M112" s="136" t="n">
        <x:f>IF(C112=0,0,ROUND(IF(B112='参数输入'!$B$8,K112-SUMIFS($M$3:$M$122,$A$3:$A$122,A112,$B$3:$B$122,"&lt;"&amp;B112),K112*J112),2))</x:f>
        <x:v>0</x:v>
      </x:c>
      <x:c r="N112" s="136" t="n">
        <x:f>IF(C112=0,0,ROUND(IF(B112='参数输入'!$B$8,L112-SUMIFS($N$3:$N$122,$A$3:$A$122,A112,$B$3:$B$122,"&lt;"&amp;B112),L112*J112),2))</x:f>
        <x:v>0</x:v>
      </x:c>
      <x:c r="O112" s="128" t="n">
        <x:v>0</x:v>
      </x:c>
      <x:c r="P112" s="136" t="n">
        <x:f>ROUND(I112+O112,2)</x:f>
        <x:v>0</x:v>
      </x:c>
      <x:c r="Q112" s="123" t="str">
        <x:f>IF(C112=0,"",IF(B112=1,'参数输入'!$B$10,EDATE('参数输入'!$B$24,B112-1)+1))</x:f>
      </x:c>
      <x:c r="R112" s="123" t="str">
        <x:f>IF(C112=0,"",EDATE('参数输入'!$B$24,B112))</x:f>
      </x:c>
    </x:row>
    <x:row r="113">
      <x:c r="A113" s="101" t="str">
        <x:v>V10</x:v>
      </x:c>
      <x:c r="B113" s="101" t="n">
        <x:v>3</x:v>
      </x:c>
      <x:c r="C113" s="101" t="n">
        <x:f>IF(AND(SUM('车辆输入'!$B$14:$F$14)&gt;0,B113&lt;='参数输入'!$B$8),1,0)</x:f>
        <x:v>0</x:v>
      </x:c>
      <x:c r="D113" s="136" t="n">
        <x:f>IF(C113=1,ROUND(MAX('车辆输入'!$M$14-ROUND('车辆输入'!$M$14/'参数输入'!$B$8,2)*(B113-1),0),2),0)</x:f>
        <x:v>0</x:v>
      </x:c>
      <x:c r="E113" s="136" t="n">
        <x:f>IF(AND(C113=1,B113&lt;='参数输入'!$B$9),ROUND(MAX('车辆输入'!$N$14-ROUND('车辆输入'!$N$14/MAX('参数输入'!$B$9,1),2)*(B113-1),0),2),0)</x:f>
        <x:v>0</x:v>
      </x:c>
      <x:c r="F113" s="136" t="n">
        <x:f>ROUND(D113+E113,2)</x:f>
        <x:v>0</x:v>
      </x:c>
      <x:c r="G113" s="136" t="n">
        <x:f>IF(C113=0,0,ROUND(IF(B113='参数输入'!$B$8,D113,MIN(D113,ROUND('车辆输入'!$M$14/'参数输入'!$B$8,2))),2))</x:f>
        <x:v>0</x:v>
      </x:c>
      <x:c r="H113" s="136" t="n">
        <x:f>IF(OR(C113=0,'参数输入'!$B$9=0,B113&gt;'参数输入'!$B$9),0,ROUND(IF(B113='参数输入'!$B$9,E113,MIN(E113,ROUND('车辆输入'!$N$14/'参数输入'!$B$9,2))),2))</x:f>
        <x:v>0</x:v>
      </x:c>
      <x:c r="I113" s="136" t="n">
        <x:f>ROUND(G113+H113,2)</x:f>
        <x:v>0</x:v>
      </x:c>
      <x:c r="J113" s="137" t="n">
        <x:f>IF(C113=1,F113/SUMIFS($F$3:$F$122,$A$3:$A$122,A113,$C$3:$C$122,1),0)</x:f>
        <x:v>0</x:v>
      </x:c>
      <x:c r="K113" s="136" t="n">
        <x:f>IF(C113=1,ROUND('车辆输入'!$K$14+'车辆输入'!$L$14,2),0)</x:f>
        <x:v>0</x:v>
      </x:c>
      <x:c r="L113" s="136" t="n">
        <x:f>IF(C113=1,ROUND(('车辆输入'!$M$14+'车辆输入'!$N$14)*'参数输入'!$B$20,2),0)</x:f>
        <x:v>0</x:v>
      </x:c>
      <x:c r="M113" s="136" t="n">
        <x:f>IF(C113=0,0,ROUND(IF(B113='参数输入'!$B$8,K113-SUMIFS($M$3:$M$122,$A$3:$A$122,A113,$B$3:$B$122,"&lt;"&amp;B113),K113*J113),2))</x:f>
        <x:v>0</x:v>
      </x:c>
      <x:c r="N113" s="136" t="n">
        <x:f>IF(C113=0,0,ROUND(IF(B113='参数输入'!$B$8,L113-SUMIFS($N$3:$N$122,$A$3:$A$122,A113,$B$3:$B$122,"&lt;"&amp;B113),L113*J113),2))</x:f>
        <x:v>0</x:v>
      </x:c>
      <x:c r="O113" s="128" t="n">
        <x:v>0</x:v>
      </x:c>
      <x:c r="P113" s="136" t="n">
        <x:f>ROUND(I113+O113,2)</x:f>
        <x:v>0</x:v>
      </x:c>
      <x:c r="Q113" s="123" t="str">
        <x:f>IF(C113=0,"",IF(B113=1,'参数输入'!$B$10,EDATE('参数输入'!$B$24,B113-1)+1))</x:f>
      </x:c>
      <x:c r="R113" s="123" t="str">
        <x:f>IF(C113=0,"",EDATE('参数输入'!$B$24,B113))</x:f>
      </x:c>
    </x:row>
    <x:row r="114">
      <x:c r="A114" s="101" t="str">
        <x:v>V10</x:v>
      </x:c>
      <x:c r="B114" s="101" t="n">
        <x:v>4</x:v>
      </x:c>
      <x:c r="C114" s="101" t="n">
        <x:f>IF(AND(SUM('车辆输入'!$B$14:$F$14)&gt;0,B114&lt;='参数输入'!$B$8),1,0)</x:f>
        <x:v>0</x:v>
      </x:c>
      <x:c r="D114" s="136" t="n">
        <x:f>IF(C114=1,ROUND(MAX('车辆输入'!$M$14-ROUND('车辆输入'!$M$14/'参数输入'!$B$8,2)*(B114-1),0),2),0)</x:f>
        <x:v>0</x:v>
      </x:c>
      <x:c r="E114" s="136" t="n">
        <x:f>IF(AND(C114=1,B114&lt;='参数输入'!$B$9),ROUND(MAX('车辆输入'!$N$14-ROUND('车辆输入'!$N$14/MAX('参数输入'!$B$9,1),2)*(B114-1),0),2),0)</x:f>
        <x:v>0</x:v>
      </x:c>
      <x:c r="F114" s="136" t="n">
        <x:f>ROUND(D114+E114,2)</x:f>
        <x:v>0</x:v>
      </x:c>
      <x:c r="G114" s="136" t="n">
        <x:f>IF(C114=0,0,ROUND(IF(B114='参数输入'!$B$8,D114,MIN(D114,ROUND('车辆输入'!$M$14/'参数输入'!$B$8,2))),2))</x:f>
        <x:v>0</x:v>
      </x:c>
      <x:c r="H114" s="136" t="n">
        <x:f>IF(OR(C114=0,'参数输入'!$B$9=0,B114&gt;'参数输入'!$B$9),0,ROUND(IF(B114='参数输入'!$B$9,E114,MIN(E114,ROUND('车辆输入'!$N$14/'参数输入'!$B$9,2))),2))</x:f>
        <x:v>0</x:v>
      </x:c>
      <x:c r="I114" s="136" t="n">
        <x:f>ROUND(G114+H114,2)</x:f>
        <x:v>0</x:v>
      </x:c>
      <x:c r="J114" s="137" t="n">
        <x:f>IF(C114=1,F114/SUMIFS($F$3:$F$122,$A$3:$A$122,A114,$C$3:$C$122,1),0)</x:f>
        <x:v>0</x:v>
      </x:c>
      <x:c r="K114" s="136" t="n">
        <x:f>IF(C114=1,ROUND('车辆输入'!$K$14+'车辆输入'!$L$14,2),0)</x:f>
        <x:v>0</x:v>
      </x:c>
      <x:c r="L114" s="136" t="n">
        <x:f>IF(C114=1,ROUND(('车辆输入'!$M$14+'车辆输入'!$N$14)*'参数输入'!$B$20,2),0)</x:f>
        <x:v>0</x:v>
      </x:c>
      <x:c r="M114" s="136" t="n">
        <x:f>IF(C114=0,0,ROUND(IF(B114='参数输入'!$B$8,K114-SUMIFS($M$3:$M$122,$A$3:$A$122,A114,$B$3:$B$122,"&lt;"&amp;B114),K114*J114),2))</x:f>
        <x:v>0</x:v>
      </x:c>
      <x:c r="N114" s="136" t="n">
        <x:f>IF(C114=0,0,ROUND(IF(B114='参数输入'!$B$8,L114-SUMIFS($N$3:$N$122,$A$3:$A$122,A114,$B$3:$B$122,"&lt;"&amp;B114),L114*J114),2))</x:f>
        <x:v>0</x:v>
      </x:c>
      <x:c r="O114" s="128" t="n">
        <x:v>0</x:v>
      </x:c>
      <x:c r="P114" s="136" t="n">
        <x:f>ROUND(I114+O114,2)</x:f>
        <x:v>0</x:v>
      </x:c>
      <x:c r="Q114" s="123" t="str">
        <x:f>IF(C114=0,"",IF(B114=1,'参数输入'!$B$10,EDATE('参数输入'!$B$24,B114-1)+1))</x:f>
      </x:c>
      <x:c r="R114" s="123" t="str">
        <x:f>IF(C114=0,"",EDATE('参数输入'!$B$24,B114))</x:f>
      </x:c>
    </x:row>
    <x:row r="115">
      <x:c r="A115" s="101" t="str">
        <x:v>V10</x:v>
      </x:c>
      <x:c r="B115" s="101" t="n">
        <x:v>5</x:v>
      </x:c>
      <x:c r="C115" s="101" t="n">
        <x:f>IF(AND(SUM('车辆输入'!$B$14:$F$14)&gt;0,B115&lt;='参数输入'!$B$8),1,0)</x:f>
        <x:v>0</x:v>
      </x:c>
      <x:c r="D115" s="136" t="n">
        <x:f>IF(C115=1,ROUND(MAX('车辆输入'!$M$14-ROUND('车辆输入'!$M$14/'参数输入'!$B$8,2)*(B115-1),0),2),0)</x:f>
        <x:v>0</x:v>
      </x:c>
      <x:c r="E115" s="136" t="n">
        <x:f>IF(AND(C115=1,B115&lt;='参数输入'!$B$9),ROUND(MAX('车辆输入'!$N$14-ROUND('车辆输入'!$N$14/MAX('参数输入'!$B$9,1),2)*(B115-1),0),2),0)</x:f>
        <x:v>0</x:v>
      </x:c>
      <x:c r="F115" s="136" t="n">
        <x:f>ROUND(D115+E115,2)</x:f>
        <x:v>0</x:v>
      </x:c>
      <x:c r="G115" s="136" t="n">
        <x:f>IF(C115=0,0,ROUND(IF(B115='参数输入'!$B$8,D115,MIN(D115,ROUND('车辆输入'!$M$14/'参数输入'!$B$8,2))),2))</x:f>
        <x:v>0</x:v>
      </x:c>
      <x:c r="H115" s="136" t="n">
        <x:f>IF(OR(C115=0,'参数输入'!$B$9=0,B115&gt;'参数输入'!$B$9),0,ROUND(IF(B115='参数输入'!$B$9,E115,MIN(E115,ROUND('车辆输入'!$N$14/'参数输入'!$B$9,2))),2))</x:f>
        <x:v>0</x:v>
      </x:c>
      <x:c r="I115" s="136" t="n">
        <x:f>ROUND(G115+H115,2)</x:f>
        <x:v>0</x:v>
      </x:c>
      <x:c r="J115" s="137" t="n">
        <x:f>IF(C115=1,F115/SUMIFS($F$3:$F$122,$A$3:$A$122,A115,$C$3:$C$122,1),0)</x:f>
        <x:v>0</x:v>
      </x:c>
      <x:c r="K115" s="136" t="n">
        <x:f>IF(C115=1,ROUND('车辆输入'!$K$14+'车辆输入'!$L$14,2),0)</x:f>
        <x:v>0</x:v>
      </x:c>
      <x:c r="L115" s="136" t="n">
        <x:f>IF(C115=1,ROUND(('车辆输入'!$M$14+'车辆输入'!$N$14)*'参数输入'!$B$20,2),0)</x:f>
        <x:v>0</x:v>
      </x:c>
      <x:c r="M115" s="136" t="n">
        <x:f>IF(C115=0,0,ROUND(IF(B115='参数输入'!$B$8,K115-SUMIFS($M$3:$M$122,$A$3:$A$122,A115,$B$3:$B$122,"&lt;"&amp;B115),K115*J115),2))</x:f>
        <x:v>0</x:v>
      </x:c>
      <x:c r="N115" s="136" t="n">
        <x:f>IF(C115=0,0,ROUND(IF(B115='参数输入'!$B$8,L115-SUMIFS($N$3:$N$122,$A$3:$A$122,A115,$B$3:$B$122,"&lt;"&amp;B115),L115*J115),2))</x:f>
        <x:v>0</x:v>
      </x:c>
      <x:c r="O115" s="128" t="n">
        <x:v>0</x:v>
      </x:c>
      <x:c r="P115" s="136" t="n">
        <x:f>ROUND(I115+O115,2)</x:f>
        <x:v>0</x:v>
      </x:c>
      <x:c r="Q115" s="123" t="str">
        <x:f>IF(C115=0,"",IF(B115=1,'参数输入'!$B$10,EDATE('参数输入'!$B$24,B115-1)+1))</x:f>
      </x:c>
      <x:c r="R115" s="123" t="str">
        <x:f>IF(C115=0,"",EDATE('参数输入'!$B$24,B115))</x:f>
      </x:c>
    </x:row>
    <x:row r="116">
      <x:c r="A116" s="101" t="str">
        <x:v>V10</x:v>
      </x:c>
      <x:c r="B116" s="101" t="n">
        <x:v>6</x:v>
      </x:c>
      <x:c r="C116" s="101" t="n">
        <x:f>IF(AND(SUM('车辆输入'!$B$14:$F$14)&gt;0,B116&lt;='参数输入'!$B$8),1,0)</x:f>
        <x:v>0</x:v>
      </x:c>
      <x:c r="D116" s="136" t="n">
        <x:f>IF(C116=1,ROUND(MAX('车辆输入'!$M$14-ROUND('车辆输入'!$M$14/'参数输入'!$B$8,2)*(B116-1),0),2),0)</x:f>
        <x:v>0</x:v>
      </x:c>
      <x:c r="E116" s="136" t="n">
        <x:f>IF(AND(C116=1,B116&lt;='参数输入'!$B$9),ROUND(MAX('车辆输入'!$N$14-ROUND('车辆输入'!$N$14/MAX('参数输入'!$B$9,1),2)*(B116-1),0),2),0)</x:f>
        <x:v>0</x:v>
      </x:c>
      <x:c r="F116" s="136" t="n">
        <x:f>ROUND(D116+E116,2)</x:f>
        <x:v>0</x:v>
      </x:c>
      <x:c r="G116" s="136" t="n">
        <x:f>IF(C116=0,0,ROUND(IF(B116='参数输入'!$B$8,D116,MIN(D116,ROUND('车辆输入'!$M$14/'参数输入'!$B$8,2))),2))</x:f>
        <x:v>0</x:v>
      </x:c>
      <x:c r="H116" s="136" t="n">
        <x:f>IF(OR(C116=0,'参数输入'!$B$9=0,B116&gt;'参数输入'!$B$9),0,ROUND(IF(B116='参数输入'!$B$9,E116,MIN(E116,ROUND('车辆输入'!$N$14/'参数输入'!$B$9,2))),2))</x:f>
        <x:v>0</x:v>
      </x:c>
      <x:c r="I116" s="136" t="n">
        <x:f>ROUND(G116+H116,2)</x:f>
        <x:v>0</x:v>
      </x:c>
      <x:c r="J116" s="137" t="n">
        <x:f>IF(C116=1,F116/SUMIFS($F$3:$F$122,$A$3:$A$122,A116,$C$3:$C$122,1),0)</x:f>
        <x:v>0</x:v>
      </x:c>
      <x:c r="K116" s="136" t="n">
        <x:f>IF(C116=1,ROUND('车辆输入'!$K$14+'车辆输入'!$L$14,2),0)</x:f>
        <x:v>0</x:v>
      </x:c>
      <x:c r="L116" s="136" t="n">
        <x:f>IF(C116=1,ROUND(('车辆输入'!$M$14+'车辆输入'!$N$14)*'参数输入'!$B$20,2),0)</x:f>
        <x:v>0</x:v>
      </x:c>
      <x:c r="M116" s="136" t="n">
        <x:f>IF(C116=0,0,ROUND(IF(B116='参数输入'!$B$8,K116-SUMIFS($M$3:$M$122,$A$3:$A$122,A116,$B$3:$B$122,"&lt;"&amp;B116),K116*J116),2))</x:f>
        <x:v>0</x:v>
      </x:c>
      <x:c r="N116" s="136" t="n">
        <x:f>IF(C116=0,0,ROUND(IF(B116='参数输入'!$B$8,L116-SUMIFS($N$3:$N$122,$A$3:$A$122,A116,$B$3:$B$122,"&lt;"&amp;B116),L116*J116),2))</x:f>
        <x:v>0</x:v>
      </x:c>
      <x:c r="O116" s="128" t="n">
        <x:v>0</x:v>
      </x:c>
      <x:c r="P116" s="136" t="n">
        <x:f>ROUND(I116+O116,2)</x:f>
        <x:v>0</x:v>
      </x:c>
      <x:c r="Q116" s="123" t="str">
        <x:f>IF(C116=0,"",IF(B116=1,'参数输入'!$B$10,EDATE('参数输入'!$B$24,B116-1)+1))</x:f>
      </x:c>
      <x:c r="R116" s="123" t="str">
        <x:f>IF(C116=0,"",EDATE('参数输入'!$B$24,B116))</x:f>
      </x:c>
    </x:row>
    <x:row r="117">
      <x:c r="A117" s="101" t="str">
        <x:v>V10</x:v>
      </x:c>
      <x:c r="B117" s="101" t="n">
        <x:v>7</x:v>
      </x:c>
      <x:c r="C117" s="101" t="n">
        <x:f>IF(AND(SUM('车辆输入'!$B$14:$F$14)&gt;0,B117&lt;='参数输入'!$B$8),1,0)</x:f>
        <x:v>0</x:v>
      </x:c>
      <x:c r="D117" s="136" t="n">
        <x:f>IF(C117=1,ROUND(MAX('车辆输入'!$M$14-ROUND('车辆输入'!$M$14/'参数输入'!$B$8,2)*(B117-1),0),2),0)</x:f>
        <x:v>0</x:v>
      </x:c>
      <x:c r="E117" s="136" t="n">
        <x:f>IF(AND(C117=1,B117&lt;='参数输入'!$B$9),ROUND(MAX('车辆输入'!$N$14-ROUND('车辆输入'!$N$14/MAX('参数输入'!$B$9,1),2)*(B117-1),0),2),0)</x:f>
        <x:v>0</x:v>
      </x:c>
      <x:c r="F117" s="136" t="n">
        <x:f>ROUND(D117+E117,2)</x:f>
        <x:v>0</x:v>
      </x:c>
      <x:c r="G117" s="136" t="n">
        <x:f>IF(C117=0,0,ROUND(IF(B117='参数输入'!$B$8,D117,MIN(D117,ROUND('车辆输入'!$M$14/'参数输入'!$B$8,2))),2))</x:f>
        <x:v>0</x:v>
      </x:c>
      <x:c r="H117" s="136" t="n">
        <x:f>IF(OR(C117=0,'参数输入'!$B$9=0,B117&gt;'参数输入'!$B$9),0,ROUND(IF(B117='参数输入'!$B$9,E117,MIN(E117,ROUND('车辆输入'!$N$14/'参数输入'!$B$9,2))),2))</x:f>
        <x:v>0</x:v>
      </x:c>
      <x:c r="I117" s="136" t="n">
        <x:f>ROUND(G117+H117,2)</x:f>
        <x:v>0</x:v>
      </x:c>
      <x:c r="J117" s="137" t="n">
        <x:f>IF(C117=1,F117/SUMIFS($F$3:$F$122,$A$3:$A$122,A117,$C$3:$C$122,1),0)</x:f>
        <x:v>0</x:v>
      </x:c>
      <x:c r="K117" s="136" t="n">
        <x:f>IF(C117=1,ROUND('车辆输入'!$K$14+'车辆输入'!$L$14,2),0)</x:f>
        <x:v>0</x:v>
      </x:c>
      <x:c r="L117" s="136" t="n">
        <x:f>IF(C117=1,ROUND(('车辆输入'!$M$14+'车辆输入'!$N$14)*'参数输入'!$B$20,2),0)</x:f>
        <x:v>0</x:v>
      </x:c>
      <x:c r="M117" s="136" t="n">
        <x:f>IF(C117=0,0,ROUND(IF(B117='参数输入'!$B$8,K117-SUMIFS($M$3:$M$122,$A$3:$A$122,A117,$B$3:$B$122,"&lt;"&amp;B117),K117*J117),2))</x:f>
        <x:v>0</x:v>
      </x:c>
      <x:c r="N117" s="136" t="n">
        <x:f>IF(C117=0,0,ROUND(IF(B117='参数输入'!$B$8,L117-SUMIFS($N$3:$N$122,$A$3:$A$122,A117,$B$3:$B$122,"&lt;"&amp;B117),L117*J117),2))</x:f>
        <x:v>0</x:v>
      </x:c>
      <x:c r="O117" s="128" t="n">
        <x:v>0</x:v>
      </x:c>
      <x:c r="P117" s="136" t="n">
        <x:f>ROUND(I117+O117,2)</x:f>
        <x:v>0</x:v>
      </x:c>
      <x:c r="Q117" s="123" t="str">
        <x:f>IF(C117=0,"",IF(B117=1,'参数输入'!$B$10,EDATE('参数输入'!$B$24,B117-1)+1))</x:f>
      </x:c>
      <x:c r="R117" s="123" t="str">
        <x:f>IF(C117=0,"",EDATE('参数输入'!$B$24,B117))</x:f>
      </x:c>
    </x:row>
    <x:row r="118">
      <x:c r="A118" s="101" t="str">
        <x:v>V10</x:v>
      </x:c>
      <x:c r="B118" s="101" t="n">
        <x:v>8</x:v>
      </x:c>
      <x:c r="C118" s="101" t="n">
        <x:f>IF(AND(SUM('车辆输入'!$B$14:$F$14)&gt;0,B118&lt;='参数输入'!$B$8),1,0)</x:f>
        <x:v>0</x:v>
      </x:c>
      <x:c r="D118" s="136" t="n">
        <x:f>IF(C118=1,ROUND(MAX('车辆输入'!$M$14-ROUND('车辆输入'!$M$14/'参数输入'!$B$8,2)*(B118-1),0),2),0)</x:f>
        <x:v>0</x:v>
      </x:c>
      <x:c r="E118" s="136" t="n">
        <x:f>IF(AND(C118=1,B118&lt;='参数输入'!$B$9),ROUND(MAX('车辆输入'!$N$14-ROUND('车辆输入'!$N$14/MAX('参数输入'!$B$9,1),2)*(B118-1),0),2),0)</x:f>
        <x:v>0</x:v>
      </x:c>
      <x:c r="F118" s="136" t="n">
        <x:f>ROUND(D118+E118,2)</x:f>
        <x:v>0</x:v>
      </x:c>
      <x:c r="G118" s="136" t="n">
        <x:f>IF(C118=0,0,ROUND(IF(B118='参数输入'!$B$8,D118,MIN(D118,ROUND('车辆输入'!$M$14/'参数输入'!$B$8,2))),2))</x:f>
        <x:v>0</x:v>
      </x:c>
      <x:c r="H118" s="136" t="n">
        <x:f>IF(OR(C118=0,'参数输入'!$B$9=0,B118&gt;'参数输入'!$B$9),0,ROUND(IF(B118='参数输入'!$B$9,E118,MIN(E118,ROUND('车辆输入'!$N$14/'参数输入'!$B$9,2))),2))</x:f>
        <x:v>0</x:v>
      </x:c>
      <x:c r="I118" s="136" t="n">
        <x:f>ROUND(G118+H118,2)</x:f>
        <x:v>0</x:v>
      </x:c>
      <x:c r="J118" s="137" t="n">
        <x:f>IF(C118=1,F118/SUMIFS($F$3:$F$122,$A$3:$A$122,A118,$C$3:$C$122,1),0)</x:f>
        <x:v>0</x:v>
      </x:c>
      <x:c r="K118" s="136" t="n">
        <x:f>IF(C118=1,ROUND('车辆输入'!$K$14+'车辆输入'!$L$14,2),0)</x:f>
        <x:v>0</x:v>
      </x:c>
      <x:c r="L118" s="136" t="n">
        <x:f>IF(C118=1,ROUND(('车辆输入'!$M$14+'车辆输入'!$N$14)*'参数输入'!$B$20,2),0)</x:f>
        <x:v>0</x:v>
      </x:c>
      <x:c r="M118" s="136" t="n">
        <x:f>IF(C118=0,0,ROUND(IF(B118='参数输入'!$B$8,K118-SUMIFS($M$3:$M$122,$A$3:$A$122,A118,$B$3:$B$122,"&lt;"&amp;B118),K118*J118),2))</x:f>
        <x:v>0</x:v>
      </x:c>
      <x:c r="N118" s="136" t="n">
        <x:f>IF(C118=0,0,ROUND(IF(B118='参数输入'!$B$8,L118-SUMIFS($N$3:$N$122,$A$3:$A$122,A118,$B$3:$B$122,"&lt;"&amp;B118),L118*J118),2))</x:f>
        <x:v>0</x:v>
      </x:c>
      <x:c r="O118" s="128" t="n">
        <x:v>0</x:v>
      </x:c>
      <x:c r="P118" s="136" t="n">
        <x:f>ROUND(I118+O118,2)</x:f>
        <x:v>0</x:v>
      </x:c>
      <x:c r="Q118" s="123" t="str">
        <x:f>IF(C118=0,"",IF(B118=1,'参数输入'!$B$10,EDATE('参数输入'!$B$24,B118-1)+1))</x:f>
      </x:c>
      <x:c r="R118" s="123" t="str">
        <x:f>IF(C118=0,"",EDATE('参数输入'!$B$24,B118))</x:f>
      </x:c>
    </x:row>
    <x:row r="119">
      <x:c r="A119" s="101" t="str">
        <x:v>V10</x:v>
      </x:c>
      <x:c r="B119" s="101" t="n">
        <x:v>9</x:v>
      </x:c>
      <x:c r="C119" s="101" t="n">
        <x:f>IF(AND(SUM('车辆输入'!$B$14:$F$14)&gt;0,B119&lt;='参数输入'!$B$8),1,0)</x:f>
        <x:v>0</x:v>
      </x:c>
      <x:c r="D119" s="136" t="n">
        <x:f>IF(C119=1,ROUND(MAX('车辆输入'!$M$14-ROUND('车辆输入'!$M$14/'参数输入'!$B$8,2)*(B119-1),0),2),0)</x:f>
        <x:v>0</x:v>
      </x:c>
      <x:c r="E119" s="136" t="n">
        <x:f>IF(AND(C119=1,B119&lt;='参数输入'!$B$9),ROUND(MAX('车辆输入'!$N$14-ROUND('车辆输入'!$N$14/MAX('参数输入'!$B$9,1),2)*(B119-1),0),2),0)</x:f>
        <x:v>0</x:v>
      </x:c>
      <x:c r="F119" s="136" t="n">
        <x:f>ROUND(D119+E119,2)</x:f>
        <x:v>0</x:v>
      </x:c>
      <x:c r="G119" s="136" t="n">
        <x:f>IF(C119=0,0,ROUND(IF(B119='参数输入'!$B$8,D119,MIN(D119,ROUND('车辆输入'!$M$14/'参数输入'!$B$8,2))),2))</x:f>
        <x:v>0</x:v>
      </x:c>
      <x:c r="H119" s="136" t="n">
        <x:f>IF(OR(C119=0,'参数输入'!$B$9=0,B119&gt;'参数输入'!$B$9),0,ROUND(IF(B119='参数输入'!$B$9,E119,MIN(E119,ROUND('车辆输入'!$N$14/'参数输入'!$B$9,2))),2))</x:f>
        <x:v>0</x:v>
      </x:c>
      <x:c r="I119" s="136" t="n">
        <x:f>ROUND(G119+H119,2)</x:f>
        <x:v>0</x:v>
      </x:c>
      <x:c r="J119" s="137" t="n">
        <x:f>IF(C119=1,F119/SUMIFS($F$3:$F$122,$A$3:$A$122,A119,$C$3:$C$122,1),0)</x:f>
        <x:v>0</x:v>
      </x:c>
      <x:c r="K119" s="136" t="n">
        <x:f>IF(C119=1,ROUND('车辆输入'!$K$14+'车辆输入'!$L$14,2),0)</x:f>
        <x:v>0</x:v>
      </x:c>
      <x:c r="L119" s="136" t="n">
        <x:f>IF(C119=1,ROUND(('车辆输入'!$M$14+'车辆输入'!$N$14)*'参数输入'!$B$20,2),0)</x:f>
        <x:v>0</x:v>
      </x:c>
      <x:c r="M119" s="136" t="n">
        <x:f>IF(C119=0,0,ROUND(IF(B119='参数输入'!$B$8,K119-SUMIFS($M$3:$M$122,$A$3:$A$122,A119,$B$3:$B$122,"&lt;"&amp;B119),K119*J119),2))</x:f>
        <x:v>0</x:v>
      </x:c>
      <x:c r="N119" s="136" t="n">
        <x:f>IF(C119=0,0,ROUND(IF(B119='参数输入'!$B$8,L119-SUMIFS($N$3:$N$122,$A$3:$A$122,A119,$B$3:$B$122,"&lt;"&amp;B119),L119*J119),2))</x:f>
        <x:v>0</x:v>
      </x:c>
      <x:c r="O119" s="128" t="n">
        <x:v>0</x:v>
      </x:c>
      <x:c r="P119" s="136" t="n">
        <x:f>ROUND(I119+O119,2)</x:f>
        <x:v>0</x:v>
      </x:c>
      <x:c r="Q119" s="123" t="str">
        <x:f>IF(C119=0,"",IF(B119=1,'参数输入'!$B$10,EDATE('参数输入'!$B$24,B119-1)+1))</x:f>
      </x:c>
      <x:c r="R119" s="123" t="str">
        <x:f>IF(C119=0,"",EDATE('参数输入'!$B$24,B119))</x:f>
      </x:c>
    </x:row>
    <x:row r="120">
      <x:c r="A120" s="101" t="str">
        <x:v>V10</x:v>
      </x:c>
      <x:c r="B120" s="101" t="n">
        <x:v>10</x:v>
      </x:c>
      <x:c r="C120" s="101" t="n">
        <x:f>IF(AND(SUM('车辆输入'!$B$14:$F$14)&gt;0,B120&lt;='参数输入'!$B$8),1,0)</x:f>
        <x:v>0</x:v>
      </x:c>
      <x:c r="D120" s="136" t="n">
        <x:f>IF(C120=1,ROUND(MAX('车辆输入'!$M$14-ROUND('车辆输入'!$M$14/'参数输入'!$B$8,2)*(B120-1),0),2),0)</x:f>
        <x:v>0</x:v>
      </x:c>
      <x:c r="E120" s="136" t="n">
        <x:f>IF(AND(C120=1,B120&lt;='参数输入'!$B$9),ROUND(MAX('车辆输入'!$N$14-ROUND('车辆输入'!$N$14/MAX('参数输入'!$B$9,1),2)*(B120-1),0),2),0)</x:f>
        <x:v>0</x:v>
      </x:c>
      <x:c r="F120" s="136" t="n">
        <x:f>ROUND(D120+E120,2)</x:f>
        <x:v>0</x:v>
      </x:c>
      <x:c r="G120" s="136" t="n">
        <x:f>IF(C120=0,0,ROUND(IF(B120='参数输入'!$B$8,D120,MIN(D120,ROUND('车辆输入'!$M$14/'参数输入'!$B$8,2))),2))</x:f>
        <x:v>0</x:v>
      </x:c>
      <x:c r="H120" s="136" t="n">
        <x:f>IF(OR(C120=0,'参数输入'!$B$9=0,B120&gt;'参数输入'!$B$9),0,ROUND(IF(B120='参数输入'!$B$9,E120,MIN(E120,ROUND('车辆输入'!$N$14/'参数输入'!$B$9,2))),2))</x:f>
        <x:v>0</x:v>
      </x:c>
      <x:c r="I120" s="136" t="n">
        <x:f>ROUND(G120+H120,2)</x:f>
        <x:v>0</x:v>
      </x:c>
      <x:c r="J120" s="137" t="n">
        <x:f>IF(C120=1,F120/SUMIFS($F$3:$F$122,$A$3:$A$122,A120,$C$3:$C$122,1),0)</x:f>
        <x:v>0</x:v>
      </x:c>
      <x:c r="K120" s="136" t="n">
        <x:f>IF(C120=1,ROUND('车辆输入'!$K$14+'车辆输入'!$L$14,2),0)</x:f>
        <x:v>0</x:v>
      </x:c>
      <x:c r="L120" s="136" t="n">
        <x:f>IF(C120=1,ROUND(('车辆输入'!$M$14+'车辆输入'!$N$14)*'参数输入'!$B$20,2),0)</x:f>
        <x:v>0</x:v>
      </x:c>
      <x:c r="M120" s="136" t="n">
        <x:f>IF(C120=0,0,ROUND(IF(B120='参数输入'!$B$8,K120-SUMIFS($M$3:$M$122,$A$3:$A$122,A120,$B$3:$B$122,"&lt;"&amp;B120),K120*J120),2))</x:f>
        <x:v>0</x:v>
      </x:c>
      <x:c r="N120" s="136" t="n">
        <x:f>IF(C120=0,0,ROUND(IF(B120='参数输入'!$B$8,L120-SUMIFS($N$3:$N$122,$A$3:$A$122,A120,$B$3:$B$122,"&lt;"&amp;B120),L120*J120),2))</x:f>
        <x:v>0</x:v>
      </x:c>
      <x:c r="O120" s="128" t="n">
        <x:v>0</x:v>
      </x:c>
      <x:c r="P120" s="136" t="n">
        <x:f>ROUND(I120+O120,2)</x:f>
        <x:v>0</x:v>
      </x:c>
      <x:c r="Q120" s="123" t="str">
        <x:f>IF(C120=0,"",IF(B120=1,'参数输入'!$B$10,EDATE('参数输入'!$B$24,B120-1)+1))</x:f>
      </x:c>
      <x:c r="R120" s="123" t="str">
        <x:f>IF(C120=0,"",EDATE('参数输入'!$B$24,B120))</x:f>
      </x:c>
    </x:row>
    <x:row r="121">
      <x:c r="A121" s="101" t="str">
        <x:v>V10</x:v>
      </x:c>
      <x:c r="B121" s="101" t="n">
        <x:v>11</x:v>
      </x:c>
      <x:c r="C121" s="101" t="n">
        <x:f>IF(AND(SUM('车辆输入'!$B$14:$F$14)&gt;0,B121&lt;='参数输入'!$B$8),1,0)</x:f>
        <x:v>0</x:v>
      </x:c>
      <x:c r="D121" s="136" t="n">
        <x:f>IF(C121=1,ROUND(MAX('车辆输入'!$M$14-ROUND('车辆输入'!$M$14/'参数输入'!$B$8,2)*(B121-1),0),2),0)</x:f>
        <x:v>0</x:v>
      </x:c>
      <x:c r="E121" s="136" t="n">
        <x:f>IF(AND(C121=1,B121&lt;='参数输入'!$B$9),ROUND(MAX('车辆输入'!$N$14-ROUND('车辆输入'!$N$14/MAX('参数输入'!$B$9,1),2)*(B121-1),0),2),0)</x:f>
        <x:v>0</x:v>
      </x:c>
      <x:c r="F121" s="136" t="n">
        <x:f>ROUND(D121+E121,2)</x:f>
        <x:v>0</x:v>
      </x:c>
      <x:c r="G121" s="136" t="n">
        <x:f>IF(C121=0,0,ROUND(IF(B121='参数输入'!$B$8,D121,MIN(D121,ROUND('车辆输入'!$M$14/'参数输入'!$B$8,2))),2))</x:f>
        <x:v>0</x:v>
      </x:c>
      <x:c r="H121" s="136" t="n">
        <x:f>IF(OR(C121=0,'参数输入'!$B$9=0,B121&gt;'参数输入'!$B$9),0,ROUND(IF(B121='参数输入'!$B$9,E121,MIN(E121,ROUND('车辆输入'!$N$14/'参数输入'!$B$9,2))),2))</x:f>
        <x:v>0</x:v>
      </x:c>
      <x:c r="I121" s="136" t="n">
        <x:f>ROUND(G121+H121,2)</x:f>
        <x:v>0</x:v>
      </x:c>
      <x:c r="J121" s="137" t="n">
        <x:f>IF(C121=1,F121/SUMIFS($F$3:$F$122,$A$3:$A$122,A121,$C$3:$C$122,1),0)</x:f>
        <x:v>0</x:v>
      </x:c>
      <x:c r="K121" s="136" t="n">
        <x:f>IF(C121=1,ROUND('车辆输入'!$K$14+'车辆输入'!$L$14,2),0)</x:f>
        <x:v>0</x:v>
      </x:c>
      <x:c r="L121" s="136" t="n">
        <x:f>IF(C121=1,ROUND(('车辆输入'!$M$14+'车辆输入'!$N$14)*'参数输入'!$B$20,2),0)</x:f>
        <x:v>0</x:v>
      </x:c>
      <x:c r="M121" s="136" t="n">
        <x:f>IF(C121=0,0,ROUND(IF(B121='参数输入'!$B$8,K121-SUMIFS($M$3:$M$122,$A$3:$A$122,A121,$B$3:$B$122,"&lt;"&amp;B121),K121*J121),2))</x:f>
        <x:v>0</x:v>
      </x:c>
      <x:c r="N121" s="136" t="n">
        <x:f>IF(C121=0,0,ROUND(IF(B121='参数输入'!$B$8,L121-SUMIFS($N$3:$N$122,$A$3:$A$122,A121,$B$3:$B$122,"&lt;"&amp;B121),L121*J121),2))</x:f>
        <x:v>0</x:v>
      </x:c>
      <x:c r="O121" s="128" t="n">
        <x:v>0</x:v>
      </x:c>
      <x:c r="P121" s="136" t="n">
        <x:f>ROUND(I121+O121,2)</x:f>
        <x:v>0</x:v>
      </x:c>
      <x:c r="Q121" s="123" t="str">
        <x:f>IF(C121=0,"",IF(B121=1,'参数输入'!$B$10,EDATE('参数输入'!$B$24,B121-1)+1))</x:f>
      </x:c>
      <x:c r="R121" s="123" t="str">
        <x:f>IF(C121=0,"",EDATE('参数输入'!$B$24,B121))</x:f>
      </x:c>
    </x:row>
    <x:row r="122">
      <x:c r="A122" s="101" t="str">
        <x:v>V10</x:v>
      </x:c>
      <x:c r="B122" s="101" t="n">
        <x:v>12</x:v>
      </x:c>
      <x:c r="C122" s="101" t="n">
        <x:f>IF(AND(SUM('车辆输入'!$B$14:$F$14)&gt;0,B122&lt;='参数输入'!$B$8),1,0)</x:f>
        <x:v>0</x:v>
      </x:c>
      <x:c r="D122" s="136" t="n">
        <x:f>IF(C122=1,ROUND(MAX('车辆输入'!$M$14-ROUND('车辆输入'!$M$14/'参数输入'!$B$8,2)*(B122-1),0),2),0)</x:f>
        <x:v>0</x:v>
      </x:c>
      <x:c r="E122" s="136" t="n">
        <x:f>IF(AND(C122=1,B122&lt;='参数输入'!$B$9),ROUND(MAX('车辆输入'!$N$14-ROUND('车辆输入'!$N$14/MAX('参数输入'!$B$9,1),2)*(B122-1),0),2),0)</x:f>
        <x:v>0</x:v>
      </x:c>
      <x:c r="F122" s="136" t="n">
        <x:f>ROUND(D122+E122,2)</x:f>
        <x:v>0</x:v>
      </x:c>
      <x:c r="G122" s="136" t="n">
        <x:f>IF(C122=0,0,ROUND(IF(B122='参数输入'!$B$8,D122,MIN(D122,ROUND('车辆输入'!$M$14/'参数输入'!$B$8,2))),2))</x:f>
        <x:v>0</x:v>
      </x:c>
      <x:c r="H122" s="136" t="n">
        <x:f>IF(OR(C122=0,'参数输入'!$B$9=0,B122&gt;'参数输入'!$B$9),0,ROUND(IF(B122='参数输入'!$B$9,E122,MIN(E122,ROUND('车辆输入'!$N$14/'参数输入'!$B$9,2))),2))</x:f>
        <x:v>0</x:v>
      </x:c>
      <x:c r="I122" s="136" t="n">
        <x:f>ROUND(G122+H122,2)</x:f>
        <x:v>0</x:v>
      </x:c>
      <x:c r="J122" s="137" t="n">
        <x:f>IF(C122=1,F122/SUMIFS($F$3:$F$122,$A$3:$A$122,A122,$C$3:$C$122,1),0)</x:f>
        <x:v>0</x:v>
      </x:c>
      <x:c r="K122" s="136" t="n">
        <x:f>IF(C122=1,ROUND('车辆输入'!$K$14+'车辆输入'!$L$14,2),0)</x:f>
        <x:v>0</x:v>
      </x:c>
      <x:c r="L122" s="136" t="n">
        <x:f>IF(C122=1,ROUND(('车辆输入'!$M$14+'车辆输入'!$N$14)*'参数输入'!$B$20,2),0)</x:f>
        <x:v>0</x:v>
      </x:c>
      <x:c r="M122" s="136" t="n">
        <x:f>IF(C122=0,0,ROUND(IF(B122='参数输入'!$B$8,K122-SUMIFS($M$3:$M$122,$A$3:$A$122,A122,$B$3:$B$122,"&lt;"&amp;B122),K122*J122),2))</x:f>
        <x:v>0</x:v>
      </x:c>
      <x:c r="N122" s="136" t="n">
        <x:f>IF(C122=0,0,ROUND(IF(B122='参数输入'!$B$8,L122-SUMIFS($N$3:$N$122,$A$3:$A$122,A122,$B$3:$B$122,"&lt;"&amp;B122),L122*J122),2))</x:f>
        <x:v>0</x:v>
      </x:c>
      <x:c r="O122" s="128" t="n">
        <x:v>0</x:v>
      </x:c>
      <x:c r="P122" s="136" t="n">
        <x:f>ROUND(I122+O122,2)</x:f>
        <x:v>0</x:v>
      </x:c>
      <x:c r="Q122" s="123" t="str">
        <x:f>IF(C122=0,"",IF(B122=1,'参数输入'!$B$10,EDATE('参数输入'!$B$24,B122-1)+1))</x:f>
      </x:c>
      <x:c r="R122" s="123" t="str">
        <x:f>IF(C122=0,"",EDATE('参数输入'!$B$24,B122))</x:f>
      </x:c>
    </x:row>
  </x:sheetData>
  <x:mergeCells>
    <x:mergeCell ref="A1:R1"/>
  </x:mergeCells>
  <x:conditionalFormatting sqref="C3:C122">
    <x:cfRule type="cellIs" dxfId="0" priority="1" operator="equal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6" hidden="0" customWidth="1"/>
    <x:col min="4" max="4" width="16" hidden="0" customWidth="1"/>
    <x:col min="5" max="5" width="14" hidden="0" customWidth="1"/>
    <x:col min="6" max="6" width="15" hidden="0" customWidth="1"/>
    <x:col min="7" max="7" width="13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6" hidden="0" customWidth="1"/>
  </x:cols>
  <x:sheetData>
    <x:row r="1" ht="30" customHeight="1">
      <x:c r="A1" s="69" t="str">
        <x:v>订单还款计划（主账单口径）</x:v>
      </x:c>
      <x:c r="B1" s="69" t="str">
        <x:v>订单还款计划（主账单口径）</x:v>
      </x:c>
      <x:c r="C1" s="69" t="str">
        <x:v>订单还款计划（主账单口径）</x:v>
      </x:c>
      <x:c r="D1" s="69" t="str">
        <x:v>订单还款计划（主账单口径）</x:v>
      </x:c>
      <x:c r="E1" s="69" t="str">
        <x:v>订单还款计划（主账单口径）</x:v>
      </x:c>
      <x:c r="F1" s="69" t="str">
        <x:v>订单还款计划（主账单口径）</x:v>
      </x:c>
      <x:c r="G1" s="69" t="str">
        <x:v>订单还款计划（主账单口径）</x:v>
      </x:c>
      <x:c r="H1" s="69" t="str">
        <x:v>订单还款计划（主账单口径）</x:v>
      </x:c>
      <x:c r="I1" s="69" t="str">
        <x:v>订单还款计划（主账单口径）</x:v>
      </x:c>
      <x:c r="J1" s="69" t="str">
        <x:v>订单还款计划（主账单口径）</x:v>
      </x:c>
      <x:c r="K1" s="69" t="str">
        <x:v>订单还款计划（主账单口径）</x:v>
      </x:c>
      <x:c r="L1" s="69" t="str">
        <x:v>订单还款计划（主账单口径）</x:v>
      </x:c>
    </x:row>
    <x:row r="2">
      <x:c r="A2" s="103" t="str">
        <x:v>客户本期应还 = 商业险本金 + 非商业险本金 + 其他分期费用。当前代码不把运营/技术服务费分摊字段重复加入 repay_total_amount。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</x:row>
    <x:row r="4">
      <x:c r="A4" s="99" t="str">
        <x:v>期次</x:v>
      </x:c>
      <x:c r="B4" s="99" t="str">
        <x:v>开始日期</x:v>
      </x:c>
      <x:c r="C4" s="99" t="str">
        <x:v>还款/结束日期</x:v>
      </x:c>
      <x:c r="D4" s="99" t="str">
        <x:v>期初占用本金</x:v>
      </x:c>
      <x:c r="E4" s="99" t="str">
        <x:v>商业险本金</x:v>
      </x:c>
      <x:c r="F4" s="99" t="str">
        <x:v>非商业险本金</x:v>
      </x:c>
      <x:c r="G4" s="99" t="str">
        <x:v>本期本金</x:v>
      </x:c>
      <x:c r="H4" s="99" t="str">
        <x:v>运营服务费分摊</x:v>
      </x:c>
      <x:c r="I4" s="99" t="str">
        <x:v>技术服务费分摊</x:v>
      </x:c>
      <x:c r="J4" s="99" t="str">
        <x:v>其他分期费用</x:v>
      </x:c>
      <x:c r="K4" s="99" t="str">
        <x:v>客户本期应还</x:v>
      </x:c>
      <x:c r="L4" s="99" t="str">
        <x:v>期末占用本金</x:v>
      </x:c>
    </x:row>
    <x:row r="5">
      <x:c r="A5" s="101" t="n">
        <x:v>1</x:v>
      </x:c>
      <x:c r="B5" s="123" t="n">
        <x:f>IF(A5&lt;='参数输入'!$B$8,IF(A5=1,'参数输入'!$B$10,EDATE('参数输入'!$B$24,A5-1)+1),"")</x:f>
        <x:v>46249</x:v>
      </x:c>
      <x:c r="C5" s="123" t="n">
        <x:f>IF(A5&lt;='参数输入'!$B$8,EDATE('参数输入'!$B$24,A5),"")</x:f>
        <x:v>46269</x:v>
      </x:c>
      <x:c r="D5" s="136" t="n">
        <x:f>ROUND(SUMIFS('逐车试算'!$F$3:$F$122,'逐车试算'!$B$3:$B$122,A5,'逐车试算'!$C$3:$C$122,1),2)</x:f>
        <x:v>16129.3</x:v>
      </x:c>
      <x:c r="E5" s="136" t="n">
        <x:f>ROUND(SUMIFS('逐车试算'!$G$3:$G$122,'逐车试算'!$B$3:$B$122,A5,'逐车试算'!$C$3:$C$122,1),2)</x:f>
        <x:v>1792.14</x:v>
      </x:c>
      <x:c r="F5" s="136" t="n">
        <x:f>ROUND(SUMIFS('逐车试算'!$H$3:$H$122,'逐车试算'!$B$3:$B$122,A5,'逐车试算'!$C$3:$C$122,1),2)</x:f>
        <x:v>0</x:v>
      </x:c>
      <x:c r="G5" s="136" t="n">
        <x:f>ROUND(E5+F5,2)</x:f>
        <x:v>1792.14</x:v>
      </x:c>
      <x:c r="H5" s="136" t="n">
        <x:f>ROUND(SUMIFS('逐车试算'!$M$3:$M$122,'逐车试算'!$B$3:$B$122,A5,'逐车试算'!$C$3:$C$122,1),2)</x:f>
        <x:v>129.03</x:v>
      </x:c>
      <x:c r="I5" s="136" t="n">
        <x:f>ROUND(SUMIFS('逐车试算'!$N$3:$N$122,'逐车试算'!$B$3:$B$122,A5,'逐车试算'!$C$3:$C$122,1),2)</x:f>
        <x:v>16.13</x:v>
      </x:c>
      <x:c r="J5" s="136" t="n">
        <x:f>ROUND(SUMIFS('逐车试算'!$O$3:$O$122,'逐车试算'!$B$3:$B$122,A5,'逐车试算'!$C$3:$C$122,1),2)</x:f>
        <x:v>0</x:v>
      </x:c>
      <x:c r="K5" s="136" t="n">
        <x:f>ROUND(G5+J5,2)</x:f>
        <x:v>1792.14</x:v>
      </x:c>
      <x:c r="L5" s="136" t="n">
        <x:f>ROUND(D5-G5,2)</x:f>
        <x:v>14337.16</x:v>
      </x:c>
    </x:row>
    <x:row r="6">
      <x:c r="A6" s="101" t="n">
        <x:v>2</x:v>
      </x:c>
      <x:c r="B6" s="123" t="n">
        <x:f>IF(A6&lt;='参数输入'!$B$8,IF(A6=1,'参数输入'!$B$10,EDATE('参数输入'!$B$24,A6-1)+1),"")</x:f>
        <x:v>46270</x:v>
      </x:c>
      <x:c r="C6" s="123" t="n">
        <x:f>IF(A6&lt;='参数输入'!$B$8,EDATE('参数输入'!$B$24,A6),"")</x:f>
        <x:v>46299</x:v>
      </x:c>
      <x:c r="D6" s="136" t="n">
        <x:f>ROUND(SUMIFS('逐车试算'!$F$3:$F$122,'逐车试算'!$B$3:$B$122,A6,'逐车试算'!$C$3:$C$122,1),2)</x:f>
        <x:v>14337.16</x:v>
      </x:c>
      <x:c r="E6" s="136" t="n">
        <x:f>ROUND(SUMIFS('逐车试算'!$G$3:$G$122,'逐车试算'!$B$3:$B$122,A6,'逐车试算'!$C$3:$C$122,1),2)</x:f>
        <x:v>1792.14</x:v>
      </x:c>
      <x:c r="F6" s="136" t="n">
        <x:f>ROUND(SUMIFS('逐车试算'!$H$3:$H$122,'逐车试算'!$B$3:$B$122,A6,'逐车试算'!$C$3:$C$122,1),2)</x:f>
        <x:v>0</x:v>
      </x:c>
      <x:c r="G6" s="136" t="n">
        <x:f>ROUND(E6+F6,2)</x:f>
        <x:v>1792.14</x:v>
      </x:c>
      <x:c r="H6" s="136" t="n">
        <x:f>ROUND(SUMIFS('逐车试算'!$M$3:$M$122,'逐车试算'!$B$3:$B$122,A6,'逐车试算'!$C$3:$C$122,1),2)</x:f>
        <x:v>114.7</x:v>
      </x:c>
      <x:c r="I6" s="136" t="n">
        <x:f>ROUND(SUMIFS('逐车试算'!$N$3:$N$122,'逐车试算'!$B$3:$B$122,A6,'逐车试算'!$C$3:$C$122,1),2)</x:f>
        <x:v>14.34</x:v>
      </x:c>
      <x:c r="J6" s="136" t="n">
        <x:f>ROUND(SUMIFS('逐车试算'!$O$3:$O$122,'逐车试算'!$B$3:$B$122,A6,'逐车试算'!$C$3:$C$122,1),2)</x:f>
        <x:v>0</x:v>
      </x:c>
      <x:c r="K6" s="136" t="n">
        <x:f>ROUND(G6+J6,2)</x:f>
        <x:v>1792.14</x:v>
      </x:c>
      <x:c r="L6" s="136" t="n">
        <x:f>ROUND(D6-G6,2)</x:f>
        <x:v>12545.02</x:v>
      </x:c>
    </x:row>
    <x:row r="7">
      <x:c r="A7" s="101" t="n">
        <x:v>3</x:v>
      </x:c>
      <x:c r="B7" s="123" t="n">
        <x:f>IF(A7&lt;='参数输入'!$B$8,IF(A7=1,'参数输入'!$B$10,EDATE('参数输入'!$B$24,A7-1)+1),"")</x:f>
        <x:v>46300</x:v>
      </x:c>
      <x:c r="C7" s="123" t="n">
        <x:f>IF(A7&lt;='参数输入'!$B$8,EDATE('参数输入'!$B$24,A7),"")</x:f>
        <x:v>46330</x:v>
      </x:c>
      <x:c r="D7" s="136" t="n">
        <x:f>ROUND(SUMIFS('逐车试算'!$F$3:$F$122,'逐车试算'!$B$3:$B$122,A7,'逐车试算'!$C$3:$C$122,1),2)</x:f>
        <x:v>12545.02</x:v>
      </x:c>
      <x:c r="E7" s="136" t="n">
        <x:f>ROUND(SUMIFS('逐车试算'!$G$3:$G$122,'逐车试算'!$B$3:$B$122,A7,'逐车试算'!$C$3:$C$122,1),2)</x:f>
        <x:v>1792.14</x:v>
      </x:c>
      <x:c r="F7" s="136" t="n">
        <x:f>ROUND(SUMIFS('逐车试算'!$H$3:$H$122,'逐车试算'!$B$3:$B$122,A7,'逐车试算'!$C$3:$C$122,1),2)</x:f>
        <x:v>0</x:v>
      </x:c>
      <x:c r="G7" s="136" t="n">
        <x:f>ROUND(E7+F7,2)</x:f>
        <x:v>1792.14</x:v>
      </x:c>
      <x:c r="H7" s="136" t="n">
        <x:f>ROUND(SUMIFS('逐车试算'!$M$3:$M$122,'逐车试算'!$B$3:$B$122,A7,'逐车试算'!$C$3:$C$122,1),2)</x:f>
        <x:v>100.36</x:v>
      </x:c>
      <x:c r="I7" s="136" t="n">
        <x:f>ROUND(SUMIFS('逐车试算'!$N$3:$N$122,'逐车试算'!$B$3:$B$122,A7,'逐车试算'!$C$3:$C$122,1),2)</x:f>
        <x:v>12.55</x:v>
      </x:c>
      <x:c r="J7" s="136" t="n">
        <x:f>ROUND(SUMIFS('逐车试算'!$O$3:$O$122,'逐车试算'!$B$3:$B$122,A7,'逐车试算'!$C$3:$C$122,1),2)</x:f>
        <x:v>0</x:v>
      </x:c>
      <x:c r="K7" s="136" t="n">
        <x:f>ROUND(G7+J7,2)</x:f>
        <x:v>1792.14</x:v>
      </x:c>
      <x:c r="L7" s="136" t="n">
        <x:f>ROUND(D7-G7,2)</x:f>
        <x:v>10752.88</x:v>
      </x:c>
    </x:row>
    <x:row r="8">
      <x:c r="A8" s="101" t="n">
        <x:v>4</x:v>
      </x:c>
      <x:c r="B8" s="123" t="n">
        <x:f>IF(A8&lt;='参数输入'!$B$8,IF(A8=1,'参数输入'!$B$10,EDATE('参数输入'!$B$24,A8-1)+1),"")</x:f>
        <x:v>46331</x:v>
      </x:c>
      <x:c r="C8" s="123" t="n">
        <x:f>IF(A8&lt;='参数输入'!$B$8,EDATE('参数输入'!$B$24,A8),"")</x:f>
        <x:v>46360</x:v>
      </x:c>
      <x:c r="D8" s="136" t="n">
        <x:f>ROUND(SUMIFS('逐车试算'!$F$3:$F$122,'逐车试算'!$B$3:$B$122,A8,'逐车试算'!$C$3:$C$122,1),2)</x:f>
        <x:v>10752.88</x:v>
      </x:c>
      <x:c r="E8" s="136" t="n">
        <x:f>ROUND(SUMIFS('逐车试算'!$G$3:$G$122,'逐车试算'!$B$3:$B$122,A8,'逐车试算'!$C$3:$C$122,1),2)</x:f>
        <x:v>1792.14</x:v>
      </x:c>
      <x:c r="F8" s="136" t="n">
        <x:f>ROUND(SUMIFS('逐车试算'!$H$3:$H$122,'逐车试算'!$B$3:$B$122,A8,'逐车试算'!$C$3:$C$122,1),2)</x:f>
        <x:v>0</x:v>
      </x:c>
      <x:c r="G8" s="136" t="n">
        <x:f>ROUND(E8+F8,2)</x:f>
        <x:v>1792.14</x:v>
      </x:c>
      <x:c r="H8" s="136" t="n">
        <x:f>ROUND(SUMIFS('逐车试算'!$M$3:$M$122,'逐车试算'!$B$3:$B$122,A8,'逐车试算'!$C$3:$C$122,1),2)</x:f>
        <x:v>86.02</x:v>
      </x:c>
      <x:c r="I8" s="136" t="n">
        <x:f>ROUND(SUMIFS('逐车试算'!$N$3:$N$122,'逐车试算'!$B$3:$B$122,A8,'逐车试算'!$C$3:$C$122,1),2)</x:f>
        <x:v>10.75</x:v>
      </x:c>
      <x:c r="J8" s="136" t="n">
        <x:f>ROUND(SUMIFS('逐车试算'!$O$3:$O$122,'逐车试算'!$B$3:$B$122,A8,'逐车试算'!$C$3:$C$122,1),2)</x:f>
        <x:v>0</x:v>
      </x:c>
      <x:c r="K8" s="136" t="n">
        <x:f>ROUND(G8+J8,2)</x:f>
        <x:v>1792.14</x:v>
      </x:c>
      <x:c r="L8" s="136" t="n">
        <x:f>ROUND(D8-G8,2)</x:f>
        <x:v>8960.74</x:v>
      </x:c>
    </x:row>
    <x:row r="9">
      <x:c r="A9" s="101" t="n">
        <x:v>5</x:v>
      </x:c>
      <x:c r="B9" s="123" t="n">
        <x:f>IF(A9&lt;='参数输入'!$B$8,IF(A9=1,'参数输入'!$B$10,EDATE('参数输入'!$B$24,A9-1)+1),"")</x:f>
        <x:v>46361</x:v>
      </x:c>
      <x:c r="C9" s="123" t="n">
        <x:f>IF(A9&lt;='参数输入'!$B$8,EDATE('参数输入'!$B$24,A9),"")</x:f>
        <x:v>46391</x:v>
      </x:c>
      <x:c r="D9" s="136" t="n">
        <x:f>ROUND(SUMIFS('逐车试算'!$F$3:$F$122,'逐车试算'!$B$3:$B$122,A9,'逐车试算'!$C$3:$C$122,1),2)</x:f>
        <x:v>8960.74</x:v>
      </x:c>
      <x:c r="E9" s="136" t="n">
        <x:f>ROUND(SUMIFS('逐车试算'!$G$3:$G$122,'逐车试算'!$B$3:$B$122,A9,'逐车试算'!$C$3:$C$122,1),2)</x:f>
        <x:v>1792.14</x:v>
      </x:c>
      <x:c r="F9" s="136" t="n">
        <x:f>ROUND(SUMIFS('逐车试算'!$H$3:$H$122,'逐车试算'!$B$3:$B$122,A9,'逐车试算'!$C$3:$C$122,1),2)</x:f>
        <x:v>0</x:v>
      </x:c>
      <x:c r="G9" s="136" t="n">
        <x:f>ROUND(E9+F9,2)</x:f>
        <x:v>1792.14</x:v>
      </x:c>
      <x:c r="H9" s="136" t="n">
        <x:f>ROUND(SUMIFS('逐车试算'!$M$3:$M$122,'逐车试算'!$B$3:$B$122,A9,'逐车试算'!$C$3:$C$122,1),2)</x:f>
        <x:v>71.69</x:v>
      </x:c>
      <x:c r="I9" s="136" t="n">
        <x:f>ROUND(SUMIFS('逐车试算'!$N$3:$N$122,'逐车试算'!$B$3:$B$122,A9,'逐车试算'!$C$3:$C$122,1),2)</x:f>
        <x:v>8.96</x:v>
      </x:c>
      <x:c r="J9" s="136" t="n">
        <x:f>ROUND(SUMIFS('逐车试算'!$O$3:$O$122,'逐车试算'!$B$3:$B$122,A9,'逐车试算'!$C$3:$C$122,1),2)</x:f>
        <x:v>0</x:v>
      </x:c>
      <x:c r="K9" s="136" t="n">
        <x:f>ROUND(G9+J9,2)</x:f>
        <x:v>1792.14</x:v>
      </x:c>
      <x:c r="L9" s="136" t="n">
        <x:f>ROUND(D9-G9,2)</x:f>
        <x:v>7168.6</x:v>
      </x:c>
    </x:row>
    <x:row r="10">
      <x:c r="A10" s="101" t="n">
        <x:v>6</x:v>
      </x:c>
      <x:c r="B10" s="123" t="n">
        <x:f>IF(A10&lt;='参数输入'!$B$8,IF(A10=1,'参数输入'!$B$10,EDATE('参数输入'!$B$24,A10-1)+1),"")</x:f>
        <x:v>46392</x:v>
      </x:c>
      <x:c r="C10" s="123" t="n">
        <x:f>IF(A10&lt;='参数输入'!$B$8,EDATE('参数输入'!$B$24,A10),"")</x:f>
        <x:v>46422</x:v>
      </x:c>
      <x:c r="D10" s="136" t="n">
        <x:f>ROUND(SUMIFS('逐车试算'!$F$3:$F$122,'逐车试算'!$B$3:$B$122,A10,'逐车试算'!$C$3:$C$122,1),2)</x:f>
        <x:v>7168.6</x:v>
      </x:c>
      <x:c r="E10" s="136" t="n">
        <x:f>ROUND(SUMIFS('逐车试算'!$G$3:$G$122,'逐车试算'!$B$3:$B$122,A10,'逐车试算'!$C$3:$C$122,1),2)</x:f>
        <x:v>1792.14</x:v>
      </x:c>
      <x:c r="F10" s="136" t="n">
        <x:f>ROUND(SUMIFS('逐车试算'!$H$3:$H$122,'逐车试算'!$B$3:$B$122,A10,'逐车试算'!$C$3:$C$122,1),2)</x:f>
        <x:v>0</x:v>
      </x:c>
      <x:c r="G10" s="136" t="n">
        <x:f>ROUND(E10+F10,2)</x:f>
        <x:v>1792.14</x:v>
      </x:c>
      <x:c r="H10" s="136" t="n">
        <x:f>ROUND(SUMIFS('逐车试算'!$M$3:$M$122,'逐车试算'!$B$3:$B$122,A10,'逐车试算'!$C$3:$C$122,1),2)</x:f>
        <x:v>57.35</x:v>
      </x:c>
      <x:c r="I10" s="136" t="n">
        <x:f>ROUND(SUMIFS('逐车试算'!$N$3:$N$122,'逐车试算'!$B$3:$B$122,A10,'逐车试算'!$C$3:$C$122,1),2)</x:f>
        <x:v>7.17</x:v>
      </x:c>
      <x:c r="J10" s="136" t="n">
        <x:f>ROUND(SUMIFS('逐车试算'!$O$3:$O$122,'逐车试算'!$B$3:$B$122,A10,'逐车试算'!$C$3:$C$122,1),2)</x:f>
        <x:v>0</x:v>
      </x:c>
      <x:c r="K10" s="136" t="n">
        <x:f>ROUND(G10+J10,2)</x:f>
        <x:v>1792.14</x:v>
      </x:c>
      <x:c r="L10" s="136" t="n">
        <x:f>ROUND(D10-G10,2)</x:f>
        <x:v>5376.46</x:v>
      </x:c>
    </x:row>
    <x:row r="11">
      <x:c r="A11" s="101" t="n">
        <x:v>7</x:v>
      </x:c>
      <x:c r="B11" s="123" t="n">
        <x:f>IF(A11&lt;='参数输入'!$B$8,IF(A11=1,'参数输入'!$B$10,EDATE('参数输入'!$B$24,A11-1)+1),"")</x:f>
        <x:v>46423</x:v>
      </x:c>
      <x:c r="C11" s="123" t="n">
        <x:f>IF(A11&lt;='参数输入'!$B$8,EDATE('参数输入'!$B$24,A11),"")</x:f>
        <x:v>46450</x:v>
      </x:c>
      <x:c r="D11" s="136" t="n">
        <x:f>ROUND(SUMIFS('逐车试算'!$F$3:$F$122,'逐车试算'!$B$3:$B$122,A11,'逐车试算'!$C$3:$C$122,1),2)</x:f>
        <x:v>5376.46</x:v>
      </x:c>
      <x:c r="E11" s="136" t="n">
        <x:f>ROUND(SUMIFS('逐车试算'!$G$3:$G$122,'逐车试算'!$B$3:$B$122,A11,'逐车试算'!$C$3:$C$122,1),2)</x:f>
        <x:v>1792.14</x:v>
      </x:c>
      <x:c r="F11" s="136" t="n">
        <x:f>ROUND(SUMIFS('逐车试算'!$H$3:$H$122,'逐车试算'!$B$3:$B$122,A11,'逐车试算'!$C$3:$C$122,1),2)</x:f>
        <x:v>0</x:v>
      </x:c>
      <x:c r="G11" s="136" t="n">
        <x:f>ROUND(E11+F11,2)</x:f>
        <x:v>1792.14</x:v>
      </x:c>
      <x:c r="H11" s="136" t="n">
        <x:f>ROUND(SUMIFS('逐车试算'!$M$3:$M$122,'逐车试算'!$B$3:$B$122,A11,'逐车试算'!$C$3:$C$122,1),2)</x:f>
        <x:v>43.01</x:v>
      </x:c>
      <x:c r="I11" s="136" t="n">
        <x:f>ROUND(SUMIFS('逐车试算'!$N$3:$N$122,'逐车试算'!$B$3:$B$122,A11,'逐车试算'!$C$3:$C$122,1),2)</x:f>
        <x:v>5.38</x:v>
      </x:c>
      <x:c r="J11" s="136" t="n">
        <x:f>ROUND(SUMIFS('逐车试算'!$O$3:$O$122,'逐车试算'!$B$3:$B$122,A11,'逐车试算'!$C$3:$C$122,1),2)</x:f>
        <x:v>0</x:v>
      </x:c>
      <x:c r="K11" s="136" t="n">
        <x:f>ROUND(G11+J11,2)</x:f>
        <x:v>1792.14</x:v>
      </x:c>
      <x:c r="L11" s="136" t="n">
        <x:f>ROUND(D11-G11,2)</x:f>
        <x:v>3584.32</x:v>
      </x:c>
    </x:row>
    <x:row r="12">
      <x:c r="A12" s="101" t="n">
        <x:v>8</x:v>
      </x:c>
      <x:c r="B12" s="123" t="n">
        <x:f>IF(A12&lt;='参数输入'!$B$8,IF(A12=1,'参数输入'!$B$10,EDATE('参数输入'!$B$24,A12-1)+1),"")</x:f>
        <x:v>46451</x:v>
      </x:c>
      <x:c r="C12" s="123" t="n">
        <x:f>IF(A12&lt;='参数输入'!$B$8,EDATE('参数输入'!$B$24,A12),"")</x:f>
        <x:v>46481</x:v>
      </x:c>
      <x:c r="D12" s="136" t="n">
        <x:f>ROUND(SUMIFS('逐车试算'!$F$3:$F$122,'逐车试算'!$B$3:$B$122,A12,'逐车试算'!$C$3:$C$122,1),2)</x:f>
        <x:v>3584.32</x:v>
      </x:c>
      <x:c r="E12" s="136" t="n">
        <x:f>ROUND(SUMIFS('逐车试算'!$G$3:$G$122,'逐车试算'!$B$3:$B$122,A12,'逐车试算'!$C$3:$C$122,1),2)</x:f>
        <x:v>1792.14</x:v>
      </x:c>
      <x:c r="F12" s="136" t="n">
        <x:f>ROUND(SUMIFS('逐车试算'!$H$3:$H$122,'逐车试算'!$B$3:$B$122,A12,'逐车试算'!$C$3:$C$122,1),2)</x:f>
        <x:v>0</x:v>
      </x:c>
      <x:c r="G12" s="136" t="n">
        <x:f>ROUND(E12+F12,2)</x:f>
        <x:v>1792.14</x:v>
      </x:c>
      <x:c r="H12" s="136" t="n">
        <x:f>ROUND(SUMIFS('逐车试算'!$M$3:$M$122,'逐车试算'!$B$3:$B$122,A12,'逐车试算'!$C$3:$C$122,1),2)</x:f>
        <x:v>28.67</x:v>
      </x:c>
      <x:c r="I12" s="136" t="n">
        <x:f>ROUND(SUMIFS('逐车试算'!$N$3:$N$122,'逐车试算'!$B$3:$B$122,A12,'逐车试算'!$C$3:$C$122,1),2)</x:f>
        <x:v>3.58</x:v>
      </x:c>
      <x:c r="J12" s="136" t="n">
        <x:f>ROUND(SUMIFS('逐车试算'!$O$3:$O$122,'逐车试算'!$B$3:$B$122,A12,'逐车试算'!$C$3:$C$122,1),2)</x:f>
        <x:v>0</x:v>
      </x:c>
      <x:c r="K12" s="136" t="n">
        <x:f>ROUND(G12+J12,2)</x:f>
        <x:v>1792.14</x:v>
      </x:c>
      <x:c r="L12" s="136" t="n">
        <x:f>ROUND(D12-G12,2)</x:f>
        <x:v>1792.18</x:v>
      </x:c>
    </x:row>
    <x:row r="13">
      <x:c r="A13" s="101" t="n">
        <x:v>9</x:v>
      </x:c>
      <x:c r="B13" s="123" t="n">
        <x:f>IF(A13&lt;='参数输入'!$B$8,IF(A13=1,'参数输入'!$B$10,EDATE('参数输入'!$B$24,A13-1)+1),"")</x:f>
        <x:v>46482</x:v>
      </x:c>
      <x:c r="C13" s="123" t="n">
        <x:f>IF(A13&lt;='参数输入'!$B$8,EDATE('参数输入'!$B$24,A13),"")</x:f>
        <x:v>46511</x:v>
      </x:c>
      <x:c r="D13" s="136" t="n">
        <x:f>ROUND(SUMIFS('逐车试算'!$F$3:$F$122,'逐车试算'!$B$3:$B$122,A13,'逐车试算'!$C$3:$C$122,1),2)</x:f>
        <x:v>1792.18</x:v>
      </x:c>
      <x:c r="E13" s="136" t="n">
        <x:f>ROUND(SUMIFS('逐车试算'!$G$3:$G$122,'逐车试算'!$B$3:$B$122,A13,'逐车试算'!$C$3:$C$122,1),2)</x:f>
        <x:v>1792.18</x:v>
      </x:c>
      <x:c r="F13" s="136" t="n">
        <x:f>ROUND(SUMIFS('逐车试算'!$H$3:$H$122,'逐车试算'!$B$3:$B$122,A13,'逐车试算'!$C$3:$C$122,1),2)</x:f>
        <x:v>0</x:v>
      </x:c>
      <x:c r="G13" s="136" t="n">
        <x:f>ROUND(E13+F13,2)</x:f>
        <x:v>1792.18</x:v>
      </x:c>
      <x:c r="H13" s="136" t="n">
        <x:f>ROUND(SUMIFS('逐车试算'!$M$3:$M$122,'逐车试算'!$B$3:$B$122,A13,'逐车试算'!$C$3:$C$122,1),2)</x:f>
        <x:v>14.34</x:v>
      </x:c>
      <x:c r="I13" s="136" t="n">
        <x:f>ROUND(SUMIFS('逐车试算'!$N$3:$N$122,'逐车试算'!$B$3:$B$122,A13,'逐车试算'!$C$3:$C$122,1),2)</x:f>
        <x:v>1.79</x:v>
      </x:c>
      <x:c r="J13" s="136" t="n">
        <x:f>ROUND(SUMIFS('逐车试算'!$O$3:$O$122,'逐车试算'!$B$3:$B$122,A13,'逐车试算'!$C$3:$C$122,1),2)</x:f>
        <x:v>0</x:v>
      </x:c>
      <x:c r="K13" s="136" t="n">
        <x:f>ROUND(G13+J13,2)</x:f>
        <x:v>1792.18</x:v>
      </x:c>
      <x:c r="L13" s="136" t="n">
        <x:f>ROUND(D13-G13,2)</x:f>
        <x:v>0</x:v>
      </x:c>
    </x:row>
    <x:row r="14">
      <x:c r="A14" s="101" t="n">
        <x:v>10</x:v>
      </x:c>
      <x:c r="B14" s="123" t="str">
        <x:f>IF(A14&lt;='参数输入'!$B$8,IF(A14=1,'参数输入'!$B$10,EDATE('参数输入'!$B$24,A14-1)+1),"")</x:f>
      </x:c>
      <x:c r="C14" s="123" t="str">
        <x:f>IF(A14&lt;='参数输入'!$B$8,EDATE('参数输入'!$B$24,A14),"")</x:f>
      </x:c>
      <x:c r="D14" s="136" t="n">
        <x:f>ROUND(SUMIFS('逐车试算'!$F$3:$F$122,'逐车试算'!$B$3:$B$122,A14,'逐车试算'!$C$3:$C$122,1),2)</x:f>
        <x:v>0</x:v>
      </x:c>
      <x:c r="E14" s="136" t="n">
        <x:f>ROUND(SUMIFS('逐车试算'!$G$3:$G$122,'逐车试算'!$B$3:$B$122,A14,'逐车试算'!$C$3:$C$122,1),2)</x:f>
        <x:v>0</x:v>
      </x:c>
      <x:c r="F14" s="136" t="n">
        <x:f>ROUND(SUMIFS('逐车试算'!$H$3:$H$122,'逐车试算'!$B$3:$B$122,A14,'逐车试算'!$C$3:$C$122,1),2)</x:f>
        <x:v>0</x:v>
      </x:c>
      <x:c r="G14" s="136" t="n">
        <x:f>ROUND(E14+F14,2)</x:f>
        <x:v>0</x:v>
      </x:c>
      <x:c r="H14" s="136" t="n">
        <x:f>ROUND(SUMIFS('逐车试算'!$M$3:$M$122,'逐车试算'!$B$3:$B$122,A14,'逐车试算'!$C$3:$C$122,1),2)</x:f>
        <x:v>0</x:v>
      </x:c>
      <x:c r="I14" s="136" t="n">
        <x:f>ROUND(SUMIFS('逐车试算'!$N$3:$N$122,'逐车试算'!$B$3:$B$122,A14,'逐车试算'!$C$3:$C$122,1),2)</x:f>
        <x:v>0</x:v>
      </x:c>
      <x:c r="J14" s="136" t="n">
        <x:f>ROUND(SUMIFS('逐车试算'!$O$3:$O$122,'逐车试算'!$B$3:$B$122,A14,'逐车试算'!$C$3:$C$122,1),2)</x:f>
        <x:v>0</x:v>
      </x:c>
      <x:c r="K14" s="136" t="n">
        <x:f>ROUND(G14+J14,2)</x:f>
        <x:v>0</x:v>
      </x:c>
      <x:c r="L14" s="136" t="n">
        <x:f>ROUND(D14-G14,2)</x:f>
        <x:v>0</x:v>
      </x:c>
    </x:row>
    <x:row r="15">
      <x:c r="A15" s="101" t="n">
        <x:v>11</x:v>
      </x:c>
      <x:c r="B15" s="123" t="str">
        <x:f>IF(A15&lt;='参数输入'!$B$8,IF(A15=1,'参数输入'!$B$10,EDATE('参数输入'!$B$24,A15-1)+1),"")</x:f>
      </x:c>
      <x:c r="C15" s="123" t="str">
        <x:f>IF(A15&lt;='参数输入'!$B$8,EDATE('参数输入'!$B$24,A15),"")</x:f>
      </x:c>
      <x:c r="D15" s="136" t="n">
        <x:f>ROUND(SUMIFS('逐车试算'!$F$3:$F$122,'逐车试算'!$B$3:$B$122,A15,'逐车试算'!$C$3:$C$122,1),2)</x:f>
        <x:v>0</x:v>
      </x:c>
      <x:c r="E15" s="136" t="n">
        <x:f>ROUND(SUMIFS('逐车试算'!$G$3:$G$122,'逐车试算'!$B$3:$B$122,A15,'逐车试算'!$C$3:$C$122,1),2)</x:f>
        <x:v>0</x:v>
      </x:c>
      <x:c r="F15" s="136" t="n">
        <x:f>ROUND(SUMIFS('逐车试算'!$H$3:$H$122,'逐车试算'!$B$3:$B$122,A15,'逐车试算'!$C$3:$C$122,1),2)</x:f>
        <x:v>0</x:v>
      </x:c>
      <x:c r="G15" s="136" t="n">
        <x:f>ROUND(E15+F15,2)</x:f>
        <x:v>0</x:v>
      </x:c>
      <x:c r="H15" s="136" t="n">
        <x:f>ROUND(SUMIFS('逐车试算'!$M$3:$M$122,'逐车试算'!$B$3:$B$122,A15,'逐车试算'!$C$3:$C$122,1),2)</x:f>
        <x:v>0</x:v>
      </x:c>
      <x:c r="I15" s="136" t="n">
        <x:f>ROUND(SUMIFS('逐车试算'!$N$3:$N$122,'逐车试算'!$B$3:$B$122,A15,'逐车试算'!$C$3:$C$122,1),2)</x:f>
        <x:v>0</x:v>
      </x:c>
      <x:c r="J15" s="136" t="n">
        <x:f>ROUND(SUMIFS('逐车试算'!$O$3:$O$122,'逐车试算'!$B$3:$B$122,A15,'逐车试算'!$C$3:$C$122,1),2)</x:f>
        <x:v>0</x:v>
      </x:c>
      <x:c r="K15" s="136" t="n">
        <x:f>ROUND(G15+J15,2)</x:f>
        <x:v>0</x:v>
      </x:c>
      <x:c r="L15" s="136" t="n">
        <x:f>ROUND(D15-G15,2)</x:f>
        <x:v>0</x:v>
      </x:c>
    </x:row>
    <x:row r="16">
      <x:c r="A16" s="101" t="n">
        <x:v>12</x:v>
      </x:c>
      <x:c r="B16" s="123" t="str">
        <x:f>IF(A16&lt;='参数输入'!$B$8,IF(A16=1,'参数输入'!$B$10,EDATE('参数输入'!$B$24,A16-1)+1),"")</x:f>
      </x:c>
      <x:c r="C16" s="123" t="str">
        <x:f>IF(A16&lt;='参数输入'!$B$8,EDATE('参数输入'!$B$24,A16),"")</x:f>
      </x:c>
      <x:c r="D16" s="136" t="n">
        <x:f>ROUND(SUMIFS('逐车试算'!$F$3:$F$122,'逐车试算'!$B$3:$B$122,A16,'逐车试算'!$C$3:$C$122,1),2)</x:f>
        <x:v>0</x:v>
      </x:c>
      <x:c r="E16" s="136" t="n">
        <x:f>ROUND(SUMIFS('逐车试算'!$G$3:$G$122,'逐车试算'!$B$3:$B$122,A16,'逐车试算'!$C$3:$C$122,1),2)</x:f>
        <x:v>0</x:v>
      </x:c>
      <x:c r="F16" s="136" t="n">
        <x:f>ROUND(SUMIFS('逐车试算'!$H$3:$H$122,'逐车试算'!$B$3:$B$122,A16,'逐车试算'!$C$3:$C$122,1),2)</x:f>
        <x:v>0</x:v>
      </x:c>
      <x:c r="G16" s="136" t="n">
        <x:f>ROUND(E16+F16,2)</x:f>
        <x:v>0</x:v>
      </x:c>
      <x:c r="H16" s="136" t="n">
        <x:f>ROUND(SUMIFS('逐车试算'!$M$3:$M$122,'逐车试算'!$B$3:$B$122,A16,'逐车试算'!$C$3:$C$122,1),2)</x:f>
        <x:v>0</x:v>
      </x:c>
      <x:c r="I16" s="136" t="n">
        <x:f>ROUND(SUMIFS('逐车试算'!$N$3:$N$122,'逐车试算'!$B$3:$B$122,A16,'逐车试算'!$C$3:$C$122,1),2)</x:f>
        <x:v>0</x:v>
      </x:c>
      <x:c r="J16" s="136" t="n">
        <x:f>ROUND(SUMIFS('逐车试算'!$O$3:$O$122,'逐车试算'!$B$3:$B$122,A16,'逐车试算'!$C$3:$C$122,1),2)</x:f>
        <x:v>0</x:v>
      </x:c>
      <x:c r="K16" s="136" t="n">
        <x:f>ROUND(G16+J16,2)</x:f>
        <x:v>0</x:v>
      </x:c>
      <x:c r="L16" s="136" t="n">
        <x:f>ROUND(D16-G16,2)</x:f>
        <x:v>0</x:v>
      </x:c>
    </x:row>
    <x:row r="17">
      <x:c r="A17" s="104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</x:row>
    <x:row r="18">
      <x:c r="A18" s="132" t="str">
        <x:v>合计</x:v>
      </x:c>
      <x:c r="B18" s="132"/>
      <x:c r="C18" s="132"/>
      <x:c r="D18" s="133"/>
      <x:c r="E18" s="133" t="n">
        <x:f>ROUND(SUM(E5:E16),2)</x:f>
        <x:v>16129.3</x:v>
      </x:c>
      <x:c r="F18" s="133" t="n">
        <x:f>ROUND(SUM(F5:F16),2)</x:f>
        <x:v>0</x:v>
      </x:c>
      <x:c r="G18" s="133" t="n">
        <x:f>ROUND(SUM(G5:G16),2)</x:f>
        <x:v>16129.3</x:v>
      </x:c>
      <x:c r="H18" s="133" t="n">
        <x:f>ROUND(SUM(H5:H16),2)</x:f>
        <x:v>645.17</x:v>
      </x:c>
      <x:c r="I18" s="133" t="n">
        <x:f>ROUND(SUM(I5:I16),2)</x:f>
        <x:v>80.65</x:v>
      </x:c>
      <x:c r="J18" s="133" t="n">
        <x:f>ROUND(SUM(J5:J16),2)</x:f>
        <x:v>0</x:v>
      </x:c>
      <x:c r="K18" s="133" t="n">
        <x:f>ROUND(SUM(K5:K16),2)</x:f>
        <x:v>16129.3</x:v>
      </x:c>
      <x:c r="L18" s="133"/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2" hidden="0" customWidth="1"/>
    <x:col min="14" max="14" width="14" hidden="0" customWidth="1"/>
    <x:col min="15" max="15" width="14" hidden="0" customWidth="1"/>
    <x:col min="16" max="16" width="11" hidden="0" customWidth="1"/>
  </x:cols>
  <x:sheetData>
    <x:row r="1" ht="30" customHeight="1">
      <x:c r="A1" s="69" t="str">
        <x:v>生产脱敏样本回代核对</x:v>
      </x:c>
      <x:c r="B1" s="69" t="str">
        <x:v>生产脱敏样本回代核对</x:v>
      </x:c>
      <x:c r="C1" s="69" t="str">
        <x:v>生产脱敏样本回代核对</x:v>
      </x:c>
      <x:c r="D1" s="69" t="str">
        <x:v>生产脱敏样本回代核对</x:v>
      </x:c>
      <x:c r="E1" s="69" t="str">
        <x:v>生产脱敏样本回代核对</x:v>
      </x:c>
      <x:c r="F1" s="69" t="str">
        <x:v>生产脱敏样本回代核对</x:v>
      </x:c>
      <x:c r="G1" s="69" t="str">
        <x:v>生产脱敏样本回代核对</x:v>
      </x:c>
      <x:c r="H1" s="69" t="str">
        <x:v>生产脱敏样本回代核对</x:v>
      </x:c>
      <x:c r="I1" s="69" t="str">
        <x:v>生产脱敏样本回代核对</x:v>
      </x:c>
      <x:c r="J1" s="69" t="str">
        <x:v>生产脱敏样本回代核对</x:v>
      </x:c>
      <x:c r="K1" s="69" t="str">
        <x:v>生产脱敏样本回代核对</x:v>
      </x:c>
      <x:c r="L1" s="69" t="str">
        <x:v>生产脱敏样本回代核对</x:v>
      </x:c>
      <x:c r="M1" s="69" t="str">
        <x:v>生产脱敏样本回代核对</x:v>
      </x:c>
      <x:c r="N1" s="69" t="str">
        <x:v>生产脱敏样本回代核对</x:v>
      </x:c>
      <x:c r="O1" s="69" t="str">
        <x:v>生产脱敏样本回代核对</x:v>
      </x:c>
      <x:c r="P1" s="69" t="str">
        <x:v>生产脱敏样本回代核对</x:v>
      </x:c>
    </x:row>
    <x:row r="2">
      <x:c r="A2" s="104" t="str">
        <x:v>样本：PRD-ZY-A001 / 自营渠道 / 商业险 / 9期 / 2026-08-15；不含申请号、客户、车辆标识。</x:v>
      </x:c>
      <x:c r="B2" s="104"/>
      <x:c r="C2" s="104"/>
      <x:c r="D2" s="148" t="str">
        <x:v>模型状态</x:v>
      </x:c>
      <x:c r="E2" s="148"/>
      <x:c r="F2" s="149" t="str">
        <x:f>IF(COUNTIF(E6:E13,"差异")+COUNTIF(P18:P29,"差异")=0,"OK","需复核")</x:f>
        <x:v>OK</x:v>
      </x:c>
      <x:c r="G2" s="149"/>
      <x:c r="H2" s="149"/>
      <x:c r="I2" s="104"/>
      <x:c r="J2" s="104"/>
      <x:c r="K2" s="104"/>
      <x:c r="L2" s="104"/>
      <x:c r="M2" s="104"/>
      <x:c r="N2" s="104"/>
      <x:c r="O2" s="104"/>
      <x:c r="P2" s="104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  <x:c r="N3" s="104"/>
      <x:c r="O3" s="104"/>
      <x:c r="P3" s="104"/>
    </x:row>
    <x:row r="4" ht="22" customHeight="1">
      <x:c r="A4" s="89" t="str">
        <x:v>订单汇总核对</x:v>
      </x:c>
      <x:c r="B4" s="89" t="str">
        <x:v>订单汇总核对</x:v>
      </x:c>
      <x:c r="C4" s="89" t="str">
        <x:v>订单汇总核对</x:v>
      </x:c>
      <x:c r="D4" s="89" t="str">
        <x:v>订单汇总核对</x:v>
      </x:c>
      <x:c r="E4" s="89" t="str">
        <x:v>订单汇总核对</x:v>
      </x:c>
      <x:c r="F4" s="89" t="str">
        <x:v>订单汇总核对</x:v>
      </x:c>
      <x:c r="G4" s="89" t="str">
        <x:v>订单汇总核对</x:v>
      </x:c>
      <x:c r="H4" s="104"/>
      <x:c r="I4" s="104"/>
      <x:c r="J4" s="104"/>
      <x:c r="K4" s="104"/>
      <x:c r="L4" s="104"/>
      <x:c r="M4" s="104"/>
      <x:c r="N4" s="104"/>
      <x:c r="O4" s="104"/>
      <x:c r="P4" s="104"/>
    </x:row>
    <x:row r="5">
      <x:c r="A5" s="99" t="str">
        <x:v>指标</x:v>
      </x:c>
      <x:c r="B5" s="99" t="str">
        <x:v>生产值</x:v>
      </x:c>
      <x:c r="C5" s="99" t="str">
        <x:v>模型值</x:v>
      </x:c>
      <x:c r="D5" s="99" t="str">
        <x:v>差异</x:v>
      </x:c>
      <x:c r="E5" s="99" t="str">
        <x:v>状态</x:v>
      </x:c>
      <x:c r="F5" s="99" t="str">
        <x:v>容差</x:v>
      </x:c>
      <x:c r="G5" s="99" t="str">
        <x:v>来源/说明</x:v>
      </x:c>
      <x:c r="H5" s="104"/>
      <x:c r="I5" s="104"/>
      <x:c r="J5" s="104"/>
      <x:c r="K5" s="104"/>
      <x:c r="L5" s="104"/>
      <x:c r="M5" s="104"/>
      <x:c r="N5" s="104"/>
      <x:c r="O5" s="104"/>
      <x:c r="P5" s="104"/>
    </x:row>
    <x:row r="6">
      <x:c r="A6" s="101" t="str">
        <x:v>保费合计</x:v>
      </x:c>
      <x:c r="B6" s="136" t="n">
        <x:v>17921.45</x:v>
      </x:c>
      <x:c r="C6" s="145" t="n">
        <x:f>'车辆输入'!$B$16+'车辆输入'!$F$16</x:f>
        <x:v>17921.45</x:v>
      </x:c>
      <x:c r="D6" s="136" t="n">
        <x:f>C6-B6</x:f>
        <x:v>0</x:v>
      </x:c>
      <x:c r="E6" s="101" t="str">
        <x:f>IF(ABS(D6)&lt;=F6,"OK","差异")</x:f>
        <x:v>OK</x:v>
      </x:c>
      <x:c r="F6" s="146" t="n">
        <x:v>0.01</x:v>
      </x:c>
      <x:c r="G6" s="101" t="str">
        <x:v>application_loan.premium_amount</x:v>
      </x:c>
      <x:c r="H6" s="104"/>
      <x:c r="I6" s="104"/>
      <x:c r="J6" s="104"/>
      <x:c r="K6" s="104"/>
      <x:c r="L6" s="104"/>
      <x:c r="M6" s="104"/>
      <x:c r="N6" s="104"/>
      <x:c r="O6" s="104"/>
      <x:c r="P6" s="104"/>
    </x:row>
    <x:row r="7">
      <x:c r="A7" s="101" t="str">
        <x:v>首付款</x:v>
      </x:c>
      <x:c r="B7" s="136" t="n">
        <x:v>1792.15</x:v>
      </x:c>
      <x:c r="C7" s="145" t="n">
        <x:f>'车辆输入'!$G$16+'车辆输入'!$H$16</x:f>
        <x:v>1792.15</x:v>
      </x:c>
      <x:c r="D7" s="136" t="n">
        <x:f>C7-B7</x:f>
        <x:v>0</x:v>
      </x:c>
      <x:c r="E7" s="101" t="str">
        <x:f>IF(ABS(D7)&lt;=F7,"OK","差异")</x:f>
        <x:v>OK</x:v>
      </x:c>
      <x:c r="F7" s="146" t="n">
        <x:v>0.01</x:v>
      </x:c>
      <x:c r="G7" s="101" t="str">
        <x:v>application_loan.initial_payment</x:v>
      </x:c>
      <x:c r="H7" s="104"/>
      <x:c r="I7" s="104"/>
      <x:c r="J7" s="104"/>
      <x:c r="K7" s="104"/>
      <x:c r="L7" s="104"/>
      <x:c r="M7" s="104"/>
      <x:c r="N7" s="104"/>
      <x:c r="O7" s="104"/>
      <x:c r="P7" s="104"/>
    </x:row>
    <x:row r="8">
      <x:c r="A8" s="101" t="str">
        <x:v>运营服务费</x:v>
      </x:c>
      <x:c r="B8" s="136" t="n">
        <x:v>645.17</x:v>
      </x:c>
      <x:c r="C8" s="145" t="n">
        <x:f>'车辆输入'!$K$16+'车辆输入'!$L$16</x:f>
        <x:v>645.17</x:v>
      </x:c>
      <x:c r="D8" s="136" t="n">
        <x:f>C8-B8</x:f>
        <x:v>0</x:v>
      </x:c>
      <x:c r="E8" s="101" t="str">
        <x:f>IF(ABS(D8)&lt;=F8,"OK","差异")</x:f>
        <x:v>OK</x:v>
      </x:c>
      <x:c r="F8" s="146" t="n">
        <x:v>0.01</x:v>
      </x:c>
      <x:c r="G8" s="101" t="str">
        <x:v>application_loan.operation_service_fee</x:v>
      </x:c>
      <x:c r="H8" s="104"/>
      <x:c r="I8" s="104"/>
      <x:c r="J8" s="104"/>
      <x:c r="K8" s="104"/>
      <x:c r="L8" s="104"/>
      <x:c r="M8" s="104"/>
      <x:c r="N8" s="104"/>
      <x:c r="O8" s="104"/>
      <x:c r="P8" s="104"/>
    </x:row>
    <x:row r="9">
      <x:c r="A9" s="101" t="str">
        <x:v>商业险垫资</x:v>
      </x:c>
      <x:c r="B9" s="136" t="n">
        <x:v>16129.3</x:v>
      </x:c>
      <x:c r="C9" s="145" t="n">
        <x:f>'车辆输入'!$M$16</x:f>
        <x:v>16129.3</x:v>
      </x:c>
      <x:c r="D9" s="136" t="n">
        <x:f>C9-B9</x:f>
        <x:v>0</x:v>
      </x:c>
      <x:c r="E9" s="101" t="str">
        <x:f>IF(ABS(D9)&lt;=F9,"OK","差异")</x:f>
        <x:v>OK</x:v>
      </x:c>
      <x:c r="F9" s="146" t="n">
        <x:v>0.01</x:v>
      </x:c>
      <x:c r="G9" s="101" t="str">
        <x:v>application_loan.ci_advance_total_amount</x:v>
      </x:c>
      <x:c r="H9" s="104"/>
      <x:c r="I9" s="104"/>
      <x:c r="J9" s="104"/>
      <x:c r="K9" s="104"/>
      <x:c r="L9" s="104"/>
      <x:c r="M9" s="104"/>
      <x:c r="N9" s="104"/>
      <x:c r="O9" s="104"/>
      <x:c r="P9" s="104"/>
    </x:row>
    <x:row r="10">
      <x:c r="A10" s="101" t="str">
        <x:v>首笔款</x:v>
      </x:c>
      <x:c r="B10" s="136" t="n">
        <x:v>2437.32</x:v>
      </x:c>
      <x:c r="C10" s="145" t="n">
        <x:f>'车辆输入'!$G$16+'车辆输入'!$H$16+'车辆输入'!$I$16+'车辆输入'!$J$16+'车辆输入'!$K$16+'车辆输入'!$L$16+'车辆输入'!$O$16</x:f>
        <x:v>2437.32</x:v>
      </x:c>
      <x:c r="D10" s="136" t="n">
        <x:f>C10-B10</x:f>
        <x:v>0</x:v>
      </x:c>
      <x:c r="E10" s="101" t="str">
        <x:f>IF(ABS(D10)&lt;=F10,"OK","差异")</x:f>
        <x:v>OK</x:v>
      </x:c>
      <x:c r="F10" s="146" t="n">
        <x:v>0.01</x:v>
      </x:c>
      <x:c r="G10" s="101" t="str">
        <x:v>application_loan.first_payment</x:v>
      </x:c>
      <x:c r="H10" s="104"/>
      <x:c r="I10" s="104"/>
      <x:c r="J10" s="104"/>
      <x:c r="K10" s="104"/>
      <x:c r="L10" s="104"/>
      <x:c r="M10" s="104"/>
      <x:c r="N10" s="104"/>
      <x:c r="O10" s="104"/>
      <x:c r="P10" s="104"/>
    </x:row>
    <x:row r="11">
      <x:c r="A11" s="101" t="str">
        <x:v>各期本金合计</x:v>
      </x:c>
      <x:c r="B11" s="136" t="n">
        <x:v>16129.3</x:v>
      </x:c>
      <x:c r="C11" s="145" t="n">
        <x:f>'还款计划'!$G$18</x:f>
        <x:v>16129.3</x:v>
      </x:c>
      <x:c r="D11" s="136" t="n">
        <x:f>C11-B11</x:f>
        <x:v>0</x:v>
      </x:c>
      <x:c r="E11" s="101" t="str">
        <x:f>IF(ABS(D11)&lt;=F11,"OK","差异")</x:f>
        <x:v>OK</x:v>
      </x:c>
      <x:c r="F11" s="146" t="n">
        <x:v>0.01</x:v>
      </x:c>
      <x:c r="G11" s="101" t="str">
        <x:v>loan_trial_repayschedules</x:v>
      </x:c>
      <x:c r="H11" s="104"/>
      <x:c r="I11" s="104"/>
      <x:c r="J11" s="104"/>
      <x:c r="K11" s="104"/>
      <x:c r="L11" s="104"/>
      <x:c r="M11" s="104"/>
      <x:c r="N11" s="104"/>
      <x:c r="O11" s="104"/>
      <x:c r="P11" s="104"/>
    </x:row>
    <x:row r="12">
      <x:c r="A12" s="101" t="str">
        <x:v>运营服务费分摊合计</x:v>
      </x:c>
      <x:c r="B12" s="136" t="n">
        <x:v>645.17</x:v>
      </x:c>
      <x:c r="C12" s="145" t="n">
        <x:f>'还款计划'!$H$18</x:f>
        <x:v>645.17</x:v>
      </x:c>
      <x:c r="D12" s="136" t="n">
        <x:f>C12-B12</x:f>
        <x:v>0</x:v>
      </x:c>
      <x:c r="E12" s="101" t="str">
        <x:f>IF(ABS(D12)&lt;=F12,"OK","差异")</x:f>
        <x:v>OK</x:v>
      </x:c>
      <x:c r="F12" s="146" t="n">
        <x:v>0.01</x:v>
      </x:c>
      <x:c r="G12" s="101" t="str">
        <x:v>loan_trial_repayschedules</x:v>
      </x:c>
      <x:c r="H12" s="104"/>
      <x:c r="I12" s="104"/>
      <x:c r="J12" s="104"/>
      <x:c r="K12" s="104"/>
      <x:c r="L12" s="104"/>
      <x:c r="M12" s="104"/>
      <x:c r="N12" s="104"/>
      <x:c r="O12" s="104"/>
      <x:c r="P12" s="104"/>
    </x:row>
    <x:row r="13">
      <x:c r="A13" s="101" t="str">
        <x:v>技术服务费分摊合计</x:v>
      </x:c>
      <x:c r="B13" s="136" t="n">
        <x:v>80.65</x:v>
      </x:c>
      <x:c r="C13" s="145" t="n">
        <x:f>'还款计划'!$I$18</x:f>
        <x:v>80.65</x:v>
      </x:c>
      <x:c r="D13" s="136" t="n">
        <x:f>C13-B13</x:f>
        <x:v>0</x:v>
      </x:c>
      <x:c r="E13" s="101" t="str">
        <x:f>IF(ABS(D13)&lt;=F13,"OK","差异")</x:f>
        <x:v>OK</x:v>
      </x:c>
      <x:c r="F13" s="146" t="n">
        <x:v>0.01</x:v>
      </x:c>
      <x:c r="G13" s="101" t="str">
        <x:v>垫资额×0.5%</x:v>
      </x:c>
      <x:c r="H13" s="104"/>
      <x:c r="I13" s="104"/>
      <x:c r="J13" s="104"/>
      <x:c r="K13" s="104"/>
      <x:c r="L13" s="104"/>
      <x:c r="M13" s="104"/>
      <x:c r="N13" s="104"/>
      <x:c r="O13" s="104"/>
      <x:c r="P13" s="104"/>
    </x:row>
    <x:row r="14">
      <x:c r="A14" s="104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04"/>
      <x:c r="O14" s="104"/>
      <x:c r="P14" s="104"/>
    </x:row>
    <x:row r="15">
      <x:c r="A15" s="104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04"/>
      <x:c r="O15" s="104"/>
      <x:c r="P15" s="104"/>
    </x:row>
    <x:row r="16" ht="22" customHeight="1">
      <x:c r="A16" s="89" t="str">
        <x:v>逐期核对</x:v>
      </x:c>
      <x:c r="B16" s="89" t="str">
        <x:v>逐期核对</x:v>
      </x:c>
      <x:c r="C16" s="89" t="str">
        <x:v>逐期核对</x:v>
      </x:c>
      <x:c r="D16" s="89" t="str">
        <x:v>逐期核对</x:v>
      </x:c>
      <x:c r="E16" s="89" t="str">
        <x:v>逐期核对</x:v>
      </x:c>
      <x:c r="F16" s="89" t="str">
        <x:v>逐期核对</x:v>
      </x:c>
      <x:c r="G16" s="89" t="str">
        <x:v>逐期核对</x:v>
      </x:c>
      <x:c r="H16" s="89" t="str">
        <x:v>逐期核对</x:v>
      </x:c>
      <x:c r="I16" s="89" t="str">
        <x:v>逐期核对</x:v>
      </x:c>
      <x:c r="J16" s="89" t="str">
        <x:v>逐期核对</x:v>
      </x:c>
      <x:c r="K16" s="89" t="str">
        <x:v>逐期核对</x:v>
      </x:c>
      <x:c r="L16" s="89" t="str">
        <x:v>逐期核对</x:v>
      </x:c>
      <x:c r="M16" s="89" t="str">
        <x:v>逐期核对</x:v>
      </x:c>
      <x:c r="N16" s="89" t="str">
        <x:v>逐期核对</x:v>
      </x:c>
      <x:c r="O16" s="89" t="str">
        <x:v>逐期核对</x:v>
      </x:c>
      <x:c r="P16" s="89" t="str">
        <x:v>逐期核对</x:v>
      </x:c>
    </x:row>
    <x:row r="17">
      <x:c r="A17" s="99" t="str">
        <x:v>期次</x:v>
      </x:c>
      <x:c r="B17" s="99" t="str">
        <x:v>生产本金</x:v>
      </x:c>
      <x:c r="C17" s="99" t="str">
        <x:v>模型本金</x:v>
      </x:c>
      <x:c r="D17" s="99" t="str">
        <x:v>差异</x:v>
      </x:c>
      <x:c r="E17" s="99" t="str">
        <x:v>生产运营费</x:v>
      </x:c>
      <x:c r="F17" s="99" t="str">
        <x:v>模型运营费</x:v>
      </x:c>
      <x:c r="G17" s="99" t="str">
        <x:v>差异</x:v>
      </x:c>
      <x:c r="H17" s="99" t="str">
        <x:v>生产技术费</x:v>
      </x:c>
      <x:c r="I17" s="99" t="str">
        <x:v>模型技术费</x:v>
      </x:c>
      <x:c r="J17" s="99" t="str">
        <x:v>差异</x:v>
      </x:c>
      <x:c r="K17" s="99" t="str">
        <x:v>生产应还</x:v>
      </x:c>
      <x:c r="L17" s="99" t="str">
        <x:v>模型应还</x:v>
      </x:c>
      <x:c r="M17" s="99" t="str">
        <x:v>差异</x:v>
      </x:c>
      <x:c r="N17" s="99" t="str">
        <x:v>生产还款日</x:v>
      </x:c>
      <x:c r="O17" s="99" t="str">
        <x:v>模型还款日</x:v>
      </x:c>
      <x:c r="P17" s="99" t="str">
        <x:v>状态</x:v>
      </x:c>
    </x:row>
    <x:row r="18">
      <x:c r="A18" s="101" t="n">
        <x:v>1</x:v>
      </x:c>
      <x:c r="B18" s="136" t="n">
        <x:v>1792.14</x:v>
      </x:c>
      <x:c r="C18" s="145" t="n">
        <x:f>'还款计划'!$G$5</x:f>
        <x:v>1792.14</x:v>
      </x:c>
      <x:c r="D18" s="136" t="n">
        <x:f>C18-B18</x:f>
        <x:v>0</x:v>
      </x:c>
      <x:c r="E18" s="136" t="n">
        <x:v>129.03</x:v>
      </x:c>
      <x:c r="F18" s="145" t="n">
        <x:f>'还款计划'!$H$5</x:f>
        <x:v>129.03</x:v>
      </x:c>
      <x:c r="G18" s="136" t="n">
        <x:f>F18-E18</x:f>
        <x:v>0</x:v>
      </x:c>
      <x:c r="H18" s="136" t="n">
        <x:v>16.13</x:v>
      </x:c>
      <x:c r="I18" s="145" t="n">
        <x:f>'还款计划'!$I$5</x:f>
        <x:v>16.13</x:v>
      </x:c>
      <x:c r="J18" s="136" t="n">
        <x:f>I18-H18</x:f>
        <x:v>0</x:v>
      </x:c>
      <x:c r="K18" s="136" t="n">
        <x:v>1792.14</x:v>
      </x:c>
      <x:c r="L18" s="145" t="n">
        <x:f>'还款计划'!$K$5</x:f>
        <x:v>1792.14</x:v>
      </x:c>
      <x:c r="M18" s="136" t="n">
        <x:f>L18-K18</x:f>
        <x:v>0</x:v>
      </x:c>
      <x:c r="N18" s="123" t="n">
        <x:v>46269</x:v>
      </x:c>
      <x:c r="O18" s="147" t="n">
        <x:f>IF(A18&lt;='参数输入'!$B$8,'还款计划'!$C$5,"")</x:f>
        <x:v>46269</x:v>
      </x:c>
      <x:c r="P18" s="101" t="str">
        <x:f>IF(AND(ABS(D18)&lt;=0.01,ABS(G18)&lt;=0.01,ABS(J18)&lt;=0.01,ABS(M18)&lt;=0.01,OR(AND(N18="",O18=""),N18=O18)),"OK","差异")</x:f>
        <x:v>OK</x:v>
      </x:c>
    </x:row>
    <x:row r="19">
      <x:c r="A19" s="101" t="n">
        <x:v>2</x:v>
      </x:c>
      <x:c r="B19" s="136" t="n">
        <x:v>1792.14</x:v>
      </x:c>
      <x:c r="C19" s="145" t="n">
        <x:f>'还款计划'!$G$6</x:f>
        <x:v>1792.14</x:v>
      </x:c>
      <x:c r="D19" s="136" t="n">
        <x:f>C19-B19</x:f>
        <x:v>0</x:v>
      </x:c>
      <x:c r="E19" s="136" t="n">
        <x:v>114.7</x:v>
      </x:c>
      <x:c r="F19" s="145" t="n">
        <x:f>'还款计划'!$H$6</x:f>
        <x:v>114.7</x:v>
      </x:c>
      <x:c r="G19" s="136" t="n">
        <x:f>F19-E19</x:f>
        <x:v>0</x:v>
      </x:c>
      <x:c r="H19" s="136" t="n">
        <x:v>14.34</x:v>
      </x:c>
      <x:c r="I19" s="145" t="n">
        <x:f>'还款计划'!$I$6</x:f>
        <x:v>14.34</x:v>
      </x:c>
      <x:c r="J19" s="136" t="n">
        <x:f>I19-H19</x:f>
        <x:v>0</x:v>
      </x:c>
      <x:c r="K19" s="136" t="n">
        <x:v>1792.14</x:v>
      </x:c>
      <x:c r="L19" s="145" t="n">
        <x:f>'还款计划'!$K$6</x:f>
        <x:v>1792.14</x:v>
      </x:c>
      <x:c r="M19" s="136" t="n">
        <x:f>L19-K19</x:f>
        <x:v>0</x:v>
      </x:c>
      <x:c r="N19" s="123" t="n">
        <x:v>46299</x:v>
      </x:c>
      <x:c r="O19" s="147" t="n">
        <x:f>IF(A19&lt;='参数输入'!$B$8,'还款计划'!$C$6,"")</x:f>
        <x:v>46299</x:v>
      </x:c>
      <x:c r="P19" s="101" t="str">
        <x:f>IF(AND(ABS(D19)&lt;=0.01,ABS(G19)&lt;=0.01,ABS(J19)&lt;=0.01,ABS(M19)&lt;=0.01,OR(AND(N19="",O19=""),N19=O19)),"OK","差异")</x:f>
        <x:v>OK</x:v>
      </x:c>
    </x:row>
    <x:row r="20">
      <x:c r="A20" s="101" t="n">
        <x:v>3</x:v>
      </x:c>
      <x:c r="B20" s="136" t="n">
        <x:v>1792.14</x:v>
      </x:c>
      <x:c r="C20" s="145" t="n">
        <x:f>'还款计划'!$G$7</x:f>
        <x:v>1792.14</x:v>
      </x:c>
      <x:c r="D20" s="136" t="n">
        <x:f>C20-B20</x:f>
        <x:v>0</x:v>
      </x:c>
      <x:c r="E20" s="136" t="n">
        <x:v>100.36</x:v>
      </x:c>
      <x:c r="F20" s="145" t="n">
        <x:f>'还款计划'!$H$7</x:f>
        <x:v>100.36</x:v>
      </x:c>
      <x:c r="G20" s="136" t="n">
        <x:f>F20-E20</x:f>
        <x:v>0</x:v>
      </x:c>
      <x:c r="H20" s="136" t="n">
        <x:v>12.55</x:v>
      </x:c>
      <x:c r="I20" s="145" t="n">
        <x:f>'还款计划'!$I$7</x:f>
        <x:v>12.55</x:v>
      </x:c>
      <x:c r="J20" s="136" t="n">
        <x:f>I20-H20</x:f>
        <x:v>0</x:v>
      </x:c>
      <x:c r="K20" s="136" t="n">
        <x:v>1792.14</x:v>
      </x:c>
      <x:c r="L20" s="145" t="n">
        <x:f>'还款计划'!$K$7</x:f>
        <x:v>1792.14</x:v>
      </x:c>
      <x:c r="M20" s="136" t="n">
        <x:f>L20-K20</x:f>
        <x:v>0</x:v>
      </x:c>
      <x:c r="N20" s="123" t="n">
        <x:v>46330</x:v>
      </x:c>
      <x:c r="O20" s="147" t="n">
        <x:f>IF(A20&lt;='参数输入'!$B$8,'还款计划'!$C$7,"")</x:f>
        <x:v>46330</x:v>
      </x:c>
      <x:c r="P20" s="101" t="str">
        <x:f>IF(AND(ABS(D20)&lt;=0.01,ABS(G20)&lt;=0.01,ABS(J20)&lt;=0.01,ABS(M20)&lt;=0.01,OR(AND(N20="",O20=""),N20=O20)),"OK","差异")</x:f>
        <x:v>OK</x:v>
      </x:c>
    </x:row>
    <x:row r="21">
      <x:c r="A21" s="101" t="n">
        <x:v>4</x:v>
      </x:c>
      <x:c r="B21" s="136" t="n">
        <x:v>1792.14</x:v>
      </x:c>
      <x:c r="C21" s="145" t="n">
        <x:f>'还款计划'!$G$8</x:f>
        <x:v>1792.14</x:v>
      </x:c>
      <x:c r="D21" s="136" t="n">
        <x:f>C21-B21</x:f>
        <x:v>0</x:v>
      </x:c>
      <x:c r="E21" s="136" t="n">
        <x:v>86.02</x:v>
      </x:c>
      <x:c r="F21" s="145" t="n">
        <x:f>'还款计划'!$H$8</x:f>
        <x:v>86.02</x:v>
      </x:c>
      <x:c r="G21" s="136" t="n">
        <x:f>F21-E21</x:f>
        <x:v>0</x:v>
      </x:c>
      <x:c r="H21" s="136" t="n">
        <x:v>10.75</x:v>
      </x:c>
      <x:c r="I21" s="145" t="n">
        <x:f>'还款计划'!$I$8</x:f>
        <x:v>10.75</x:v>
      </x:c>
      <x:c r="J21" s="136" t="n">
        <x:f>I21-H21</x:f>
        <x:v>0</x:v>
      </x:c>
      <x:c r="K21" s="136" t="n">
        <x:v>1792.14</x:v>
      </x:c>
      <x:c r="L21" s="145" t="n">
        <x:f>'还款计划'!$K$8</x:f>
        <x:v>1792.14</x:v>
      </x:c>
      <x:c r="M21" s="136" t="n">
        <x:f>L21-K21</x:f>
        <x:v>0</x:v>
      </x:c>
      <x:c r="N21" s="123" t="n">
        <x:v>46360</x:v>
      </x:c>
      <x:c r="O21" s="147" t="n">
        <x:f>IF(A21&lt;='参数输入'!$B$8,'还款计划'!$C$8,"")</x:f>
        <x:v>46360</x:v>
      </x:c>
      <x:c r="P21" s="101" t="str">
        <x:f>IF(AND(ABS(D21)&lt;=0.01,ABS(G21)&lt;=0.01,ABS(J21)&lt;=0.01,ABS(M21)&lt;=0.01,OR(AND(N21="",O21=""),N21=O21)),"OK","差异")</x:f>
        <x:v>OK</x:v>
      </x:c>
    </x:row>
    <x:row r="22">
      <x:c r="A22" s="101" t="n">
        <x:v>5</x:v>
      </x:c>
      <x:c r="B22" s="136" t="n">
        <x:v>1792.14</x:v>
      </x:c>
      <x:c r="C22" s="145" t="n">
        <x:f>'还款计划'!$G$9</x:f>
        <x:v>1792.14</x:v>
      </x:c>
      <x:c r="D22" s="136" t="n">
        <x:f>C22-B22</x:f>
        <x:v>0</x:v>
      </x:c>
      <x:c r="E22" s="136" t="n">
        <x:v>71.69</x:v>
      </x:c>
      <x:c r="F22" s="145" t="n">
        <x:f>'还款计划'!$H$9</x:f>
        <x:v>71.69</x:v>
      </x:c>
      <x:c r="G22" s="136" t="n">
        <x:f>F22-E22</x:f>
        <x:v>0</x:v>
      </x:c>
      <x:c r="H22" s="136" t="n">
        <x:v>8.96</x:v>
      </x:c>
      <x:c r="I22" s="145" t="n">
        <x:f>'还款计划'!$I$9</x:f>
        <x:v>8.96</x:v>
      </x:c>
      <x:c r="J22" s="136" t="n">
        <x:f>I22-H22</x:f>
        <x:v>0</x:v>
      </x:c>
      <x:c r="K22" s="136" t="n">
        <x:v>1792.14</x:v>
      </x:c>
      <x:c r="L22" s="145" t="n">
        <x:f>'还款计划'!$K$9</x:f>
        <x:v>1792.14</x:v>
      </x:c>
      <x:c r="M22" s="136" t="n">
        <x:f>L22-K22</x:f>
        <x:v>0</x:v>
      </x:c>
      <x:c r="N22" s="123" t="n">
        <x:v>46391</x:v>
      </x:c>
      <x:c r="O22" s="147" t="n">
        <x:f>IF(A22&lt;='参数输入'!$B$8,'还款计划'!$C$9,"")</x:f>
        <x:v>46391</x:v>
      </x:c>
      <x:c r="P22" s="101" t="str">
        <x:f>IF(AND(ABS(D22)&lt;=0.01,ABS(G22)&lt;=0.01,ABS(J22)&lt;=0.01,ABS(M22)&lt;=0.01,OR(AND(N22="",O22=""),N22=O22)),"OK","差异")</x:f>
        <x:v>OK</x:v>
      </x:c>
    </x:row>
    <x:row r="23">
      <x:c r="A23" s="101" t="n">
        <x:v>6</x:v>
      </x:c>
      <x:c r="B23" s="136" t="n">
        <x:v>1792.14</x:v>
      </x:c>
      <x:c r="C23" s="145" t="n">
        <x:f>'还款计划'!$G$10</x:f>
        <x:v>1792.14</x:v>
      </x:c>
      <x:c r="D23" s="136" t="n">
        <x:f>C23-B23</x:f>
        <x:v>0</x:v>
      </x:c>
      <x:c r="E23" s="136" t="n">
        <x:v>57.35</x:v>
      </x:c>
      <x:c r="F23" s="145" t="n">
        <x:f>'还款计划'!$H$10</x:f>
        <x:v>57.35</x:v>
      </x:c>
      <x:c r="G23" s="136" t="n">
        <x:f>F23-E23</x:f>
        <x:v>0</x:v>
      </x:c>
      <x:c r="H23" s="136" t="n">
        <x:v>7.17</x:v>
      </x:c>
      <x:c r="I23" s="145" t="n">
        <x:f>'还款计划'!$I$10</x:f>
        <x:v>7.17</x:v>
      </x:c>
      <x:c r="J23" s="136" t="n">
        <x:f>I23-H23</x:f>
        <x:v>0</x:v>
      </x:c>
      <x:c r="K23" s="136" t="n">
        <x:v>1792.14</x:v>
      </x:c>
      <x:c r="L23" s="145" t="n">
        <x:f>'还款计划'!$K$10</x:f>
        <x:v>1792.14</x:v>
      </x:c>
      <x:c r="M23" s="136" t="n">
        <x:f>L23-K23</x:f>
        <x:v>0</x:v>
      </x:c>
      <x:c r="N23" s="123" t="n">
        <x:v>46422</x:v>
      </x:c>
      <x:c r="O23" s="147" t="n">
        <x:f>IF(A23&lt;='参数输入'!$B$8,'还款计划'!$C$10,"")</x:f>
        <x:v>46422</x:v>
      </x:c>
      <x:c r="P23" s="101" t="str">
        <x:f>IF(AND(ABS(D23)&lt;=0.01,ABS(G23)&lt;=0.01,ABS(J23)&lt;=0.01,ABS(M23)&lt;=0.01,OR(AND(N23="",O23=""),N23=O23)),"OK","差异")</x:f>
        <x:v>OK</x:v>
      </x:c>
    </x:row>
    <x:row r="24">
      <x:c r="A24" s="101" t="n">
        <x:v>7</x:v>
      </x:c>
      <x:c r="B24" s="136" t="n">
        <x:v>1792.14</x:v>
      </x:c>
      <x:c r="C24" s="145" t="n">
        <x:f>'还款计划'!$G$11</x:f>
        <x:v>1792.14</x:v>
      </x:c>
      <x:c r="D24" s="136" t="n">
        <x:f>C24-B24</x:f>
        <x:v>0</x:v>
      </x:c>
      <x:c r="E24" s="136" t="n">
        <x:v>43.01</x:v>
      </x:c>
      <x:c r="F24" s="145" t="n">
        <x:f>'还款计划'!$H$11</x:f>
        <x:v>43.01</x:v>
      </x:c>
      <x:c r="G24" s="136" t="n">
        <x:f>F24-E24</x:f>
        <x:v>0</x:v>
      </x:c>
      <x:c r="H24" s="136" t="n">
        <x:v>5.38</x:v>
      </x:c>
      <x:c r="I24" s="145" t="n">
        <x:f>'还款计划'!$I$11</x:f>
        <x:v>5.38</x:v>
      </x:c>
      <x:c r="J24" s="136" t="n">
        <x:f>I24-H24</x:f>
        <x:v>0</x:v>
      </x:c>
      <x:c r="K24" s="136" t="n">
        <x:v>1792.14</x:v>
      </x:c>
      <x:c r="L24" s="145" t="n">
        <x:f>'还款计划'!$K$11</x:f>
        <x:v>1792.14</x:v>
      </x:c>
      <x:c r="M24" s="136" t="n">
        <x:f>L24-K24</x:f>
        <x:v>0</x:v>
      </x:c>
      <x:c r="N24" s="123" t="n">
        <x:v>46450</x:v>
      </x:c>
      <x:c r="O24" s="147" t="n">
        <x:f>IF(A24&lt;='参数输入'!$B$8,'还款计划'!$C$11,"")</x:f>
        <x:v>46450</x:v>
      </x:c>
      <x:c r="P24" s="101" t="str">
        <x:f>IF(AND(ABS(D24)&lt;=0.01,ABS(G24)&lt;=0.01,ABS(J24)&lt;=0.01,ABS(M24)&lt;=0.01,OR(AND(N24="",O24=""),N24=O24)),"OK","差异")</x:f>
        <x:v>OK</x:v>
      </x:c>
    </x:row>
    <x:row r="25">
      <x:c r="A25" s="101" t="n">
        <x:v>8</x:v>
      </x:c>
      <x:c r="B25" s="136" t="n">
        <x:v>1792.14</x:v>
      </x:c>
      <x:c r="C25" s="145" t="n">
        <x:f>'还款计划'!$G$12</x:f>
        <x:v>1792.14</x:v>
      </x:c>
      <x:c r="D25" s="136" t="n">
        <x:f>C25-B25</x:f>
        <x:v>0</x:v>
      </x:c>
      <x:c r="E25" s="136" t="n">
        <x:v>28.67</x:v>
      </x:c>
      <x:c r="F25" s="145" t="n">
        <x:f>'还款计划'!$H$12</x:f>
        <x:v>28.67</x:v>
      </x:c>
      <x:c r="G25" s="136" t="n">
        <x:f>F25-E25</x:f>
        <x:v>0</x:v>
      </x:c>
      <x:c r="H25" s="136" t="n">
        <x:v>3.58</x:v>
      </x:c>
      <x:c r="I25" s="145" t="n">
        <x:f>'还款计划'!$I$12</x:f>
        <x:v>3.58</x:v>
      </x:c>
      <x:c r="J25" s="136" t="n">
        <x:f>I25-H25</x:f>
        <x:v>0</x:v>
      </x:c>
      <x:c r="K25" s="136" t="n">
        <x:v>1792.14</x:v>
      </x:c>
      <x:c r="L25" s="145" t="n">
        <x:f>'还款计划'!$K$12</x:f>
        <x:v>1792.14</x:v>
      </x:c>
      <x:c r="M25" s="136" t="n">
        <x:f>L25-K25</x:f>
        <x:v>0</x:v>
      </x:c>
      <x:c r="N25" s="123" t="n">
        <x:v>46481</x:v>
      </x:c>
      <x:c r="O25" s="147" t="n">
        <x:f>IF(A25&lt;='参数输入'!$B$8,'还款计划'!$C$12,"")</x:f>
        <x:v>46481</x:v>
      </x:c>
      <x:c r="P25" s="101" t="str">
        <x:f>IF(AND(ABS(D25)&lt;=0.01,ABS(G25)&lt;=0.01,ABS(J25)&lt;=0.01,ABS(M25)&lt;=0.01,OR(AND(N25="",O25=""),N25=O25)),"OK","差异")</x:f>
        <x:v>OK</x:v>
      </x:c>
    </x:row>
    <x:row r="26">
      <x:c r="A26" s="101" t="n">
        <x:v>9</x:v>
      </x:c>
      <x:c r="B26" s="136" t="n">
        <x:v>1792.18</x:v>
      </x:c>
      <x:c r="C26" s="145" t="n">
        <x:f>'还款计划'!$G$13</x:f>
        <x:v>1792.18</x:v>
      </x:c>
      <x:c r="D26" s="136" t="n">
        <x:f>C26-B26</x:f>
        <x:v>0</x:v>
      </x:c>
      <x:c r="E26" s="136" t="n">
        <x:v>14.34</x:v>
      </x:c>
      <x:c r="F26" s="145" t="n">
        <x:f>'还款计划'!$H$13</x:f>
        <x:v>14.34</x:v>
      </x:c>
      <x:c r="G26" s="136" t="n">
        <x:f>F26-E26</x:f>
        <x:v>0</x:v>
      </x:c>
      <x:c r="H26" s="136" t="n">
        <x:v>1.79</x:v>
      </x:c>
      <x:c r="I26" s="145" t="n">
        <x:f>'还款计划'!$I$13</x:f>
        <x:v>1.79</x:v>
      </x:c>
      <x:c r="J26" s="136" t="n">
        <x:f>I26-H26</x:f>
        <x:v>0</x:v>
      </x:c>
      <x:c r="K26" s="136" t="n">
        <x:v>1792.18</x:v>
      </x:c>
      <x:c r="L26" s="145" t="n">
        <x:f>'还款计划'!$K$13</x:f>
        <x:v>1792.18</x:v>
      </x:c>
      <x:c r="M26" s="136" t="n">
        <x:f>L26-K26</x:f>
        <x:v>0</x:v>
      </x:c>
      <x:c r="N26" s="123" t="n">
        <x:v>46511</x:v>
      </x:c>
      <x:c r="O26" s="147" t="n">
        <x:f>IF(A26&lt;='参数输入'!$B$8,'还款计划'!$C$13,"")</x:f>
        <x:v>46511</x:v>
      </x:c>
      <x:c r="P26" s="101" t="str">
        <x:f>IF(AND(ABS(D26)&lt;=0.01,ABS(G26)&lt;=0.01,ABS(J26)&lt;=0.01,ABS(M26)&lt;=0.01,OR(AND(N26="",O26=""),N26=O26)),"OK","差异")</x:f>
        <x:v>OK</x:v>
      </x:c>
    </x:row>
    <x:row r="27">
      <x:c r="A27" s="101" t="n">
        <x:v>10</x:v>
      </x:c>
      <x:c r="B27" s="136" t="n">
        <x:v>0</x:v>
      </x:c>
      <x:c r="C27" s="145" t="n">
        <x:f>'还款计划'!$G$14</x:f>
        <x:v>0</x:v>
      </x:c>
      <x:c r="D27" s="136" t="n">
        <x:f>C27-B27</x:f>
        <x:v>0</x:v>
      </x:c>
      <x:c r="E27" s="136" t="n">
        <x:v>0</x:v>
      </x:c>
      <x:c r="F27" s="145" t="n">
        <x:f>'还款计划'!$H$14</x:f>
        <x:v>0</x:v>
      </x:c>
      <x:c r="G27" s="136" t="n">
        <x:f>F27-E27</x:f>
        <x:v>0</x:v>
      </x:c>
      <x:c r="H27" s="136" t="n">
        <x:v>0</x:v>
      </x:c>
      <x:c r="I27" s="145" t="n">
        <x:f>'还款计划'!$I$14</x:f>
        <x:v>0</x:v>
      </x:c>
      <x:c r="J27" s="136" t="n">
        <x:f>I27-H27</x:f>
        <x:v>0</x:v>
      </x:c>
      <x:c r="K27" s="136" t="n">
        <x:v>0</x:v>
      </x:c>
      <x:c r="L27" s="145" t="n">
        <x:f>'还款计划'!$K$14</x:f>
        <x:v>0</x:v>
      </x:c>
      <x:c r="M27" s="136" t="n">
        <x:f>L27-K27</x:f>
        <x:v>0</x:v>
      </x:c>
      <x:c r="N27" s="123"/>
      <x:c r="O27" s="147" t="str">
        <x:f>IF(A27&lt;='参数输入'!$B$8,'还款计划'!$C$14,"")</x:f>
      </x:c>
      <x:c r="P27" s="101" t="str">
        <x:f>IF(AND(ABS(D27)&lt;=0.01,ABS(G27)&lt;=0.01,ABS(J27)&lt;=0.01,ABS(M27)&lt;=0.01,OR(AND(N27="",O27=""),N27=O27)),"OK","差异")</x:f>
        <x:v>OK</x:v>
      </x:c>
    </x:row>
    <x:row r="28">
      <x:c r="A28" s="101" t="n">
        <x:v>11</x:v>
      </x:c>
      <x:c r="B28" s="136" t="n">
        <x:v>0</x:v>
      </x:c>
      <x:c r="C28" s="145" t="n">
        <x:f>'还款计划'!$G$15</x:f>
        <x:v>0</x:v>
      </x:c>
      <x:c r="D28" s="136" t="n">
        <x:f>C28-B28</x:f>
        <x:v>0</x:v>
      </x:c>
      <x:c r="E28" s="136" t="n">
        <x:v>0</x:v>
      </x:c>
      <x:c r="F28" s="145" t="n">
        <x:f>'还款计划'!$H$15</x:f>
        <x:v>0</x:v>
      </x:c>
      <x:c r="G28" s="136" t="n">
        <x:f>F28-E28</x:f>
        <x:v>0</x:v>
      </x:c>
      <x:c r="H28" s="136" t="n">
        <x:v>0</x:v>
      </x:c>
      <x:c r="I28" s="145" t="n">
        <x:f>'还款计划'!$I$15</x:f>
        <x:v>0</x:v>
      </x:c>
      <x:c r="J28" s="136" t="n">
        <x:f>I28-H28</x:f>
        <x:v>0</x:v>
      </x:c>
      <x:c r="K28" s="136" t="n">
        <x:v>0</x:v>
      </x:c>
      <x:c r="L28" s="145" t="n">
        <x:f>'还款计划'!$K$15</x:f>
        <x:v>0</x:v>
      </x:c>
      <x:c r="M28" s="136" t="n">
        <x:f>L28-K28</x:f>
        <x:v>0</x:v>
      </x:c>
      <x:c r="N28" s="123"/>
      <x:c r="O28" s="147" t="str">
        <x:f>IF(A28&lt;='参数输入'!$B$8,'还款计划'!$C$15,"")</x:f>
      </x:c>
      <x:c r="P28" s="101" t="str">
        <x:f>IF(AND(ABS(D28)&lt;=0.01,ABS(G28)&lt;=0.01,ABS(J28)&lt;=0.01,ABS(M28)&lt;=0.01,OR(AND(N28="",O28=""),N28=O28)),"OK","差异")</x:f>
        <x:v>OK</x:v>
      </x:c>
    </x:row>
    <x:row r="29">
      <x:c r="A29" s="101" t="n">
        <x:v>12</x:v>
      </x:c>
      <x:c r="B29" s="136" t="n">
        <x:v>0</x:v>
      </x:c>
      <x:c r="C29" s="145" t="n">
        <x:f>'还款计划'!$G$16</x:f>
        <x:v>0</x:v>
      </x:c>
      <x:c r="D29" s="136" t="n">
        <x:f>C29-B29</x:f>
        <x:v>0</x:v>
      </x:c>
      <x:c r="E29" s="136" t="n">
        <x:v>0</x:v>
      </x:c>
      <x:c r="F29" s="145" t="n">
        <x:f>'还款计划'!$H$16</x:f>
        <x:v>0</x:v>
      </x:c>
      <x:c r="G29" s="136" t="n">
        <x:f>F29-E29</x:f>
        <x:v>0</x:v>
      </x:c>
      <x:c r="H29" s="136" t="n">
        <x:v>0</x:v>
      </x:c>
      <x:c r="I29" s="145" t="n">
        <x:f>'还款计划'!$I$16</x:f>
        <x:v>0</x:v>
      </x:c>
      <x:c r="J29" s="136" t="n">
        <x:f>I29-H29</x:f>
        <x:v>0</x:v>
      </x:c>
      <x:c r="K29" s="136" t="n">
        <x:v>0</x:v>
      </x:c>
      <x:c r="L29" s="145" t="n">
        <x:f>'还款计划'!$K$16</x:f>
        <x:v>0</x:v>
      </x:c>
      <x:c r="M29" s="136" t="n">
        <x:f>L29-K29</x:f>
        <x:v>0</x:v>
      </x:c>
      <x:c r="N29" s="123"/>
      <x:c r="O29" s="147" t="str">
        <x:f>IF(A29&lt;='参数输入'!$B$8,'还款计划'!$C$16,"")</x:f>
      </x:c>
      <x:c r="P29" s="101" t="str">
        <x:f>IF(AND(ABS(D29)&lt;=0.01,ABS(G29)&lt;=0.01,ABS(J29)&lt;=0.01,ABS(M29)&lt;=0.01,OR(AND(N29="",O29=""),N29=O29)),"OK","差异")</x:f>
        <x:v>OK</x:v>
      </x:c>
    </x:row>
  </x:sheetData>
  <x:mergeCells>
    <x:mergeCell ref="A1:P1"/>
    <x:mergeCell ref="A2:C2"/>
    <x:mergeCell ref="D2:E2"/>
    <x:mergeCell ref="F2:H2"/>
    <x:mergeCell ref="A4:G4"/>
    <x:mergeCell ref="A16:P16"/>
  </x:mergeCells>
  <x:conditionalFormatting sqref="E6:E13">
    <x:cfRule type="containsText" dxfId="1" priority="1" operator="containsText" text="OK"/>
    <x:cfRule type="containsText" dxfId="2" priority="2" operator="containsText" text="差异"/>
  </x:conditionalFormatting>
  <x:conditionalFormatting sqref="P18:P29">
    <x:cfRule type="containsText" dxfId="3" priority="3" operator="containsText" text="OK"/>
    <x:cfRule type="containsText" dxfId="4" priority="4" operator="containsText" text="差异"/>
  </x:conditionalFormatting>
  <x:pageMargins left="0.7" right="0.7" top="0.75" bottom="0.75" header="0.3" footer="0.3"/>
  <x:legacyDrawing xmlns:r="http://schemas.openxmlformats.org/officeDocument/2006/relationships" r:id="R89a40738b3ac4526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11" hidden="0" customWidth="1"/>
    <x:col min="5" max="5" width="9" hidden="0" customWidth="1"/>
    <x:col min="6" max="6" width="15" hidden="0" customWidth="1"/>
    <x:col min="7" max="7" width="15" hidden="0" customWidth="1"/>
    <x:col min="8" max="8" width="11" hidden="0" customWidth="1"/>
    <x:col min="9" max="9" width="14" hidden="0" customWidth="1"/>
    <x:col min="10" max="10" width="17" hidden="0" customWidth="1"/>
    <x:col min="11" max="11" width="42" hidden="0" customWidth="1"/>
    <x:col min="12" max="12" width="15" hidden="0" customWidth="1"/>
    <x:col min="13" max="13" width="21" hidden="0" customWidth="1"/>
  </x:cols>
  <x:sheetData>
    <x:row r="1" ht="30" customHeight="1">
      <x:c r="A1" s="69" t="str">
        <x:v>保费分期生产产品配置快照</x:v>
      </x:c>
      <x:c r="B1" s="69" t="str">
        <x:v>保费分期生产产品配置快照</x:v>
      </x:c>
      <x:c r="C1" s="69" t="str">
        <x:v>保费分期生产产品配置快照</x:v>
      </x:c>
      <x:c r="D1" s="69" t="str">
        <x:v>保费分期生产产品配置快照</x:v>
      </x:c>
      <x:c r="E1" s="69" t="str">
        <x:v>保费分期生产产品配置快照</x:v>
      </x:c>
      <x:c r="F1" s="69" t="str">
        <x:v>保费分期生产产品配置快照</x:v>
      </x:c>
      <x:c r="G1" s="69" t="str">
        <x:v>保费分期生产产品配置快照</x:v>
      </x:c>
      <x:c r="H1" s="69" t="str">
        <x:v>保费分期生产产品配置快照</x:v>
      </x:c>
      <x:c r="I1" s="69" t="str">
        <x:v>保费分期生产产品配置快照</x:v>
      </x:c>
      <x:c r="J1" s="69" t="str">
        <x:v>保费分期生产产品配置快照</x:v>
      </x:c>
      <x:c r="K1" s="69" t="str">
        <x:v>保费分期生产产品配置快照</x:v>
      </x:c>
      <x:c r="L1" s="69" t="str">
        <x:v>保费分期生产产品配置快照</x:v>
      </x:c>
      <x:c r="M1" s="69" t="str">
        <x:v>保费分期生产产品配置快照</x:v>
      </x:c>
    </x:row>
    <x:row r="2">
      <x:c r="A2" s="103" t="str">
        <x:v>数据日期：2026-08-16；来源：db-prod / readonly / scf_self_order.amp_product + product_detail；不含客户标识。</x:v>
      </x:c>
      <x:c r="B2" s="103"/>
      <x:c r="C2" s="103"/>
      <x:c r="D2" s="103"/>
      <x:c r="E2" s="103"/>
      <x:c r="F2" s="103"/>
      <x:c r="G2" s="103"/>
      <x:c r="H2" s="103"/>
      <x:c r="I2" s="103"/>
      <x:c r="J2" s="103"/>
      <x:c r="K2" s="103"/>
      <x:c r="L2" s="103"/>
      <x:c r="M2" s="103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  <x:c r="K3" s="104"/>
      <x:c r="L3" s="104"/>
      <x:c r="M3" s="104"/>
    </x:row>
    <x:row r="4">
      <x:c r="A4" s="99" t="str">
        <x:v>匹配键</x:v>
      </x:c>
      <x:c r="B4" s="99" t="str">
        <x:v>产品代码</x:v>
      </x:c>
      <x:c r="C4" s="99" t="str">
        <x:v>产品名称</x:v>
      </x:c>
      <x:c r="D4" s="99" t="str">
        <x:v>险种代码</x:v>
      </x:c>
      <x:c r="E4" s="99" t="str">
        <x:v>期数</x:v>
      </x:c>
      <x:c r="F4" s="99" t="str">
        <x:v>渠道服务费率</x:v>
      </x:c>
      <x:c r="G4" s="99" t="str">
        <x:v>运营服务费率</x:v>
      </x:c>
      <x:c r="H4" s="99" t="str">
        <x:v>首付比例</x:v>
      </x:c>
      <x:c r="I4" s="99" t="str">
        <x:v>技术服务费率</x:v>
      </x:c>
      <x:c r="J4" s="99" t="str">
        <x:v>还款策略</x:v>
      </x:c>
      <x:c r="K4" s="99" t="str">
        <x:v>还款日规则</x:v>
      </x:c>
      <x:c r="L4" s="99" t="str">
        <x:v>近90天试算订单</x:v>
      </x:c>
      <x:c r="M4" s="99" t="str">
        <x:v>最近试算时间</x:v>
      </x:c>
    </x:row>
    <x:row r="5">
      <x:c r="A5" s="154" t="str">
        <x:v>PRD-JBR-A001|1|3</x:v>
      </x:c>
      <x:c r="B5" s="154" t="str">
        <x:v>PRD-JBR-A001</x:v>
      </x:c>
      <x:c r="C5" s="154" t="str">
        <x:v>聚保融保费分期产品</x:v>
      </x:c>
      <x:c r="D5" s="154" t="n">
        <x:v>1</x:v>
      </x:c>
      <x:c r="E5" s="154" t="n">
        <x:v>3</x:v>
      </x:c>
      <x:c r="F5" s="155" t="n">
        <x:v>0</x:v>
      </x:c>
      <x:c r="G5" s="155" t="n">
        <x:v>0.02</x:v>
      </x:c>
      <x:c r="H5" s="155" t="n">
        <x:v>0.1</x:v>
      </x:c>
      <x:c r="I5" s="155" t="n">
        <x:v>0.005</x:v>
      </x:c>
      <x:c r="J5" s="154" t="str">
        <x:v>ZY_Customer</x:v>
      </x:c>
      <x:c r="K5" s="154" t="str">
        <x:v>1-10→当月24；11-20→次月04；21-31→次月14</x:v>
      </x:c>
      <x:c r="L5" s="156" t="n">
        <x:v>260</x:v>
      </x:c>
      <x:c r="M5" s="157" t="str">
        <x:v>2026-08-16 17:55:04</x:v>
      </x:c>
    </x:row>
    <x:row r="6">
      <x:c r="A6" s="154" t="str">
        <x:v>PRD-JBR-A001|1|6</x:v>
      </x:c>
      <x:c r="B6" s="154" t="str">
        <x:v>PRD-JBR-A001</x:v>
      </x:c>
      <x:c r="C6" s="154" t="str">
        <x:v>聚保融保费分期产品</x:v>
      </x:c>
      <x:c r="D6" s="154" t="n">
        <x:v>1</x:v>
      </x:c>
      <x:c r="E6" s="154" t="n">
        <x:v>6</x:v>
      </x:c>
      <x:c r="F6" s="155" t="n">
        <x:v>0</x:v>
      </x:c>
      <x:c r="G6" s="155" t="n">
        <x:v>0.03</x:v>
      </x:c>
      <x:c r="H6" s="155" t="n">
        <x:v>0.1</x:v>
      </x:c>
      <x:c r="I6" s="155" t="n">
        <x:v>0.005</x:v>
      </x:c>
      <x:c r="J6" s="154" t="str">
        <x:v>ZY_Customer</x:v>
      </x:c>
      <x:c r="K6" s="154" t="str">
        <x:v>1-10→当月24；11-20→次月04；21-31→次月14</x:v>
      </x:c>
      <x:c r="L6" s="156" t="n">
        <x:v>260</x:v>
      </x:c>
      <x:c r="M6" s="157" t="str">
        <x:v>2026-08-16 17:55:04</x:v>
      </x:c>
    </x:row>
    <x:row r="7">
      <x:c r="A7" s="154" t="str">
        <x:v>PRD-JBR-A001|1|9</x:v>
      </x:c>
      <x:c r="B7" s="154" t="str">
        <x:v>PRD-JBR-A001</x:v>
      </x:c>
      <x:c r="C7" s="154" t="str">
        <x:v>聚保融保费分期产品</x:v>
      </x:c>
      <x:c r="D7" s="154" t="n">
        <x:v>1</x:v>
      </x:c>
      <x:c r="E7" s="154" t="n">
        <x:v>9</x:v>
      </x:c>
      <x:c r="F7" s="155" t="n">
        <x:v>0</x:v>
      </x:c>
      <x:c r="G7" s="155" t="n">
        <x:v>0.03</x:v>
      </x:c>
      <x:c r="H7" s="155" t="n">
        <x:v>0.1</x:v>
      </x:c>
      <x:c r="I7" s="155" t="n">
        <x:v>0.005</x:v>
      </x:c>
      <x:c r="J7" s="154" t="str">
        <x:v>ZY_Customer</x:v>
      </x:c>
      <x:c r="K7" s="154" t="str">
        <x:v>1-10→当月24；11-20→次月04；21-31→次月14</x:v>
      </x:c>
      <x:c r="L7" s="156" t="n">
        <x:v>260</x:v>
      </x:c>
      <x:c r="M7" s="157" t="str">
        <x:v>2026-08-16 17:55:04</x:v>
      </x:c>
    </x:row>
    <x:row r="8">
      <x:c r="A8" s="154" t="str">
        <x:v>PRD-JBR-A001|2|3</x:v>
      </x:c>
      <x:c r="B8" s="154" t="str">
        <x:v>PRD-JBR-A001</x:v>
      </x:c>
      <x:c r="C8" s="154" t="str">
        <x:v>聚保融保费分期产品</x:v>
      </x:c>
      <x:c r="D8" s="154" t="n">
        <x:v>2</x:v>
      </x:c>
      <x:c r="E8" s="154" t="n">
        <x:v>3</x:v>
      </x:c>
      <x:c r="F8" s="155" t="n">
        <x:v>0</x:v>
      </x:c>
      <x:c r="G8" s="155" t="n">
        <x:v>0</x:v>
      </x:c>
      <x:c r="H8" s="155" t="n">
        <x:v>0.1</x:v>
      </x:c>
      <x:c r="I8" s="155" t="n">
        <x:v>0.005</x:v>
      </x:c>
      <x:c r="J8" s="154" t="str">
        <x:v>ZY_Customer</x:v>
      </x:c>
      <x:c r="K8" s="154" t="str">
        <x:v>1-10→当月24；11-20→次月04；21-31→次月14</x:v>
      </x:c>
      <x:c r="L8" s="156" t="n">
        <x:v>260</x:v>
      </x:c>
      <x:c r="M8" s="157" t="str">
        <x:v>2026-08-16 17:55:04</x:v>
      </x:c>
    </x:row>
    <x:row r="9">
      <x:c r="A9" s="154" t="str">
        <x:v>PRD-ZY-A001|1|3</x:v>
      </x:c>
      <x:c r="B9" s="154" t="str">
        <x:v>PRD-ZY-A001</x:v>
      </x:c>
      <x:c r="C9" s="154" t="str">
        <x:v>山西鸿瑞坤</x:v>
      </x:c>
      <x:c r="D9" s="154" t="n">
        <x:v>1</x:v>
      </x:c>
      <x:c r="E9" s="154" t="n">
        <x:v>3</x:v>
      </x:c>
      <x:c r="F9" s="155" t="n">
        <x:v>0</x:v>
      </x:c>
      <x:c r="G9" s="155" t="n">
        <x:v>0.02</x:v>
      </x:c>
      <x:c r="H9" s="155" t="n">
        <x:v>0.1</x:v>
      </x:c>
      <x:c r="I9" s="155" t="n">
        <x:v>0.005</x:v>
      </x:c>
      <x:c r="J9" s="154" t="str">
        <x:v>ZY_Customer</x:v>
      </x:c>
      <x:c r="K9" s="154" t="str">
        <x:v>1-10→当月24；11-20→次月04；21-31→次月14</x:v>
      </x:c>
      <x:c r="L9" s="156" t="n">
        <x:v>118</x:v>
      </x:c>
      <x:c r="M9" s="157" t="str">
        <x:v>2026-08-15 16:42:03</x:v>
      </x:c>
    </x:row>
    <x:row r="10">
      <x:c r="A10" s="154" t="str">
        <x:v>PRD-ZY-A001|1|6</x:v>
      </x:c>
      <x:c r="B10" s="154" t="str">
        <x:v>PRD-ZY-A001</x:v>
      </x:c>
      <x:c r="C10" s="154" t="str">
        <x:v>山西鸿瑞坤</x:v>
      </x:c>
      <x:c r="D10" s="154" t="n">
        <x:v>1</x:v>
      </x:c>
      <x:c r="E10" s="154" t="n">
        <x:v>6</x:v>
      </x:c>
      <x:c r="F10" s="155" t="n">
        <x:v>0</x:v>
      </x:c>
      <x:c r="G10" s="155" t="n">
        <x:v>0.03</x:v>
      </x:c>
      <x:c r="H10" s="155" t="n">
        <x:v>0.1</x:v>
      </x:c>
      <x:c r="I10" s="155" t="n">
        <x:v>0.005</x:v>
      </x:c>
      <x:c r="J10" s="154" t="str">
        <x:v>ZY_Customer</x:v>
      </x:c>
      <x:c r="K10" s="154" t="str">
        <x:v>1-10→当月24；11-20→次月04；21-31→次月14</x:v>
      </x:c>
      <x:c r="L10" s="156" t="n">
        <x:v>118</x:v>
      </x:c>
      <x:c r="M10" s="157" t="str">
        <x:v>2026-08-15 16:42:03</x:v>
      </x:c>
    </x:row>
    <x:row r="11">
      <x:c r="A11" s="154" t="str">
        <x:v>PRD-ZY-A001|1|9</x:v>
      </x:c>
      <x:c r="B11" s="154" t="str">
        <x:v>PRD-ZY-A001</x:v>
      </x:c>
      <x:c r="C11" s="154" t="str">
        <x:v>山西鸿瑞坤</x:v>
      </x:c>
      <x:c r="D11" s="154" t="n">
        <x:v>1</x:v>
      </x:c>
      <x:c r="E11" s="154" t="n">
        <x:v>9</x:v>
      </x:c>
      <x:c r="F11" s="155" t="n">
        <x:v>0</x:v>
      </x:c>
      <x:c r="G11" s="155" t="n">
        <x:v>0.036</x:v>
      </x:c>
      <x:c r="H11" s="155" t="n">
        <x:v>0.1</x:v>
      </x:c>
      <x:c r="I11" s="155" t="n">
        <x:v>0.005</x:v>
      </x:c>
      <x:c r="J11" s="154" t="str">
        <x:v>ZY_Customer</x:v>
      </x:c>
      <x:c r="K11" s="154" t="str">
        <x:v>1-10→当月24；11-20→次月04；21-31→次月14</x:v>
      </x:c>
      <x:c r="L11" s="156" t="n">
        <x:v>118</x:v>
      </x:c>
      <x:c r="M11" s="157" t="str">
        <x:v>2026-08-15 16:42:03</x:v>
      </x:c>
    </x:row>
    <x:row r="12">
      <x:c r="A12" s="154" t="str">
        <x:v>PRD-ZY-A001|2|3</x:v>
      </x:c>
      <x:c r="B12" s="154" t="str">
        <x:v>PRD-ZY-A001</x:v>
      </x:c>
      <x:c r="C12" s="154" t="str">
        <x:v>山西鸿瑞坤</x:v>
      </x:c>
      <x:c r="D12" s="154" t="n">
        <x:v>2</x:v>
      </x:c>
      <x:c r="E12" s="154" t="n">
        <x:v>3</x:v>
      </x:c>
      <x:c r="F12" s="155" t="n">
        <x:v>0</x:v>
      </x:c>
      <x:c r="G12" s="155" t="n">
        <x:v>0.03</x:v>
      </x:c>
      <x:c r="H12" s="155" t="n">
        <x:v>0.1</x:v>
      </x:c>
      <x:c r="I12" s="155" t="n">
        <x:v>0.005</x:v>
      </x:c>
      <x:c r="J12" s="154" t="str">
        <x:v>ZY_Customer</x:v>
      </x:c>
      <x:c r="K12" s="154" t="str">
        <x:v>1-10→当月24；11-20→次月04；21-31→次月14</x:v>
      </x:c>
      <x:c r="L12" s="156" t="n">
        <x:v>118</x:v>
      </x:c>
      <x:c r="M12" s="157" t="str">
        <x:v>2026-08-15 16:42:03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58" hidden="0" customWidth="1"/>
    <x:col min="4" max="4" width="58" hidden="0" customWidth="1"/>
    <x:col min="5" max="5" width="14" hidden="0" customWidth="1"/>
    <x:col min="6" max="6" width="32" hidden="0" customWidth="1"/>
  </x:cols>
  <x:sheetData>
    <x:row r="1" ht="30" customHeight="1">
      <x:c r="A1" s="69" t="str">
        <x:v>依据、公式映射与限制</x:v>
      </x:c>
      <x:c r="B1" s="69" t="str">
        <x:v>依据、公式映射与限制</x:v>
      </x:c>
      <x:c r="C1" s="69" t="str">
        <x:v>依据、公式映射与限制</x:v>
      </x:c>
      <x:c r="D1" s="69" t="str">
        <x:v>依据、公式映射与限制</x:v>
      </x:c>
      <x:c r="E1" s="69" t="str">
        <x:v>依据、公式映射与限制</x:v>
      </x:c>
      <x:c r="F1" s="69" t="str">
        <x:v>依据、公式映射与限制</x:v>
      </x:c>
    </x:row>
    <x:row r="2">
      <x:c r="A2" s="104"/>
      <x:c r="B2" s="104"/>
      <x:c r="C2" s="104"/>
      <x:c r="D2" s="104"/>
      <x:c r="E2" s="104"/>
      <x:c r="F2" s="104"/>
    </x:row>
    <x:row r="3">
      <x:c r="A3" s="99" t="str">
        <x:v>类别</x:v>
      </x:c>
      <x:c r="B3" s="99" t="str">
        <x:v>事项</x:v>
      </x:c>
      <x:c r="C3" s="99" t="str">
        <x:v>代码/数据来源</x:v>
      </x:c>
      <x:c r="D3" s="99" t="str">
        <x:v>反推公式或结论</x:v>
      </x:c>
      <x:c r="E3" s="99" t="str">
        <x:v>核验状态</x:v>
      </x:c>
      <x:c r="F3" s="99" t="str">
        <x:v>备注</x:v>
      </x:c>
    </x:row>
    <x:row r="4">
      <x:c r="A4" s="101" t="str">
        <x:v>环境</x:v>
      </x:c>
      <x:c r="B4" s="101" t="str">
        <x:v>业务上下文</x:v>
      </x:c>
      <x:c r="C4" s="159" t="str">
        <x:v>WorkHub: BL000001 / scf / prod / master</x:v>
      </x:c>
      <x:c r="D4" s="159" t="str">
        <x:v>生产按 master；数据库只读</x:v>
      </x:c>
      <x:c r="E4" s="101" t="str">
        <x:v>已确认</x:v>
      </x:c>
      <x:c r="F4" s="101" t="str">
        <x:v>2026-08-16</x:v>
      </x:c>
    </x:row>
    <x:row r="5">
      <x:c r="A5" s="101" t="str">
        <x:v>代码</x:v>
      </x:c>
      <x:c r="B5" s="101" t="str">
        <x:v>金额拆分</x:v>
      </x:c>
      <x:c r="C5" s="159" t="str">
        <x:v>scf-order/.../SelfOperatedOrderService.java:250-380</x:v>
      </x:c>
      <x:c r="D5" s="159" t="str">
        <x:v>首付、渠道费、运营费、垫资、首笔款逐车计算</x:v>
      </x:c>
      <x:c r="E5" s="101" t="str">
        <x:v>已映射</x:v>
      </x:c>
      <x:c r="F5" s="101" t="str">
        <x:v>ROUND_HALF_UP，2位</x:v>
      </x:c>
    </x:row>
    <x:row r="6">
      <x:c r="A6" s="101" t="str">
        <x:v>代码</x:v>
      </x:c>
      <x:c r="B6" s="101" t="str">
        <x:v>还款策略</x:v>
      </x:c>
      <x:c r="C6" s="159" t="str">
        <x:v>scf-order/.../ZYCustomerCalculationStrategy.java:92-490</x:v>
      </x:c>
      <x:c r="D6" s="159" t="str">
        <x:v>等额本金；末期吃差；费用按期初占用本金权重分摊</x:v>
      </x:c>
      <x:c r="E6" s="101" t="str">
        <x:v>已映射</x:v>
      </x:c>
      <x:c r="F6" s="101" t="str">
        <x:v>当前生产产品均配置 ZY_Customer</x:v>
      </x:c>
    </x:row>
    <x:row r="7">
      <x:c r="A7" s="101" t="str">
        <x:v>代码</x:v>
      </x:c>
      <x:c r="B7" s="101" t="str">
        <x:v>试算入口</x:v>
      </x:c>
      <x:c r="C7" s="159" t="str">
        <x:v>scf-order/.../ApplicationProprietaryController.java:500-552</x:v>
      </x:c>
      <x:c r="D7" s="159" t="str">
        <x:v>POST /api/application/v2/installment/plan/calculate</x:v>
      </x:c>
      <x:c r="E7" s="101" t="str">
        <x:v>已确认</x:v>
      </x:c>
      <x:c r="F7" s="101" t="str">
        <x:v>自营渠道</x:v>
      </x:c>
    </x:row>
    <x:row r="8">
      <x:c r="A8" s="101" t="str">
        <x:v>代码</x:v>
      </x:c>
      <x:c r="B8" s="101" t="str">
        <x:v>正式出账</x:v>
      </x:c>
      <x:c r="C8" s="159" t="str">
        <x:v>scf-saps/.../CustomerBillProviderController.java:44-57</x:v>
      </x:c>
      <x:c r="D8" s="159" t="str">
        <x:v>POST /api/generate/customer/bill/V2</x:v>
      </x:c>
      <x:c r="E8" s="101" t="str">
        <x:v>已确认</x:v>
      </x:c>
      <x:c r="F8" s="101" t="str">
        <x:v>运营商+客户账单</x:v>
      </x:c>
    </x:row>
    <x:row r="9">
      <x:c r="A9" s="101" t="str">
        <x:v>数据</x:v>
      </x:c>
      <x:c r="B9" s="101" t="str">
        <x:v>产品配置</x:v>
      </x:c>
      <x:c r="C9" s="159" t="str">
        <x:v>db-prod.readonly / scf_self_order.amp_product + product_detail</x:v>
      </x:c>
      <x:c r="D9" s="159" t="str">
        <x:v>费率、首付比例、策略、还款日规则</x:v>
      </x:c>
      <x:c r="E9" s="101" t="str">
        <x:v>已读取</x:v>
      </x:c>
      <x:c r="F9" s="101" t="str">
        <x:v>未包含客户数据</x:v>
      </x:c>
    </x:row>
    <x:row r="10">
      <x:c r="A10" s="101" t="str">
        <x:v>数据</x:v>
      </x:c>
      <x:c r="B10" s="101" t="str">
        <x:v>生产样本</x:v>
      </x:c>
      <x:c r="C10" s="159" t="str">
        <x:v>db-prod.readonly / application_loan + application_vehicle + loan_trial_repayschedules</x:v>
      </x:c>
      <x:c r="D10" s="159" t="str">
        <x:v>PRD-ZY-A001，自营，商业险，9期，脱敏</x:v>
      </x:c>
      <x:c r="E10" s="101" t="str">
        <x:v>回代OK</x:v>
      </x:c>
      <x:c r="F10" s="101" t="str">
        <x:v>不保留申请号/车架号</x:v>
      </x:c>
    </x:row>
    <x:row r="11">
      <x:c r="A11" s="101" t="str">
        <x:v>口径</x:v>
      </x:c>
      <x:c r="B11" s="101" t="str">
        <x:v>客户本期应还</x:v>
      </x:c>
      <x:c r="C11" s="159" t="str">
        <x:v>ZYCustomerCalculationStrategy.java:386,443</x:v>
      </x:c>
      <x:c r="D11" s="159" t="str">
        <x:v>商业险本金+非商业险本金+其他分期费用</x:v>
      </x:c>
      <x:c r="E11" s="101" t="str">
        <x:v>已映射</x:v>
      </x:c>
      <x:c r="F11" s="101" t="str">
        <x:v>不重复加运营/技术服务费分摊</x:v>
      </x:c>
    </x:row>
    <x:row r="12">
      <x:c r="A12" s="101" t="str">
        <x:v>口径</x:v>
      </x:c>
      <x:c r="B12" s="101" t="str">
        <x:v>首笔款</x:v>
      </x:c>
      <x:c r="C12" s="159" t="str">
        <x:v>SelfOperatedOrderService.java:357-363</x:v>
      </x:c>
      <x:c r="D12" s="159" t="str">
        <x:v>首付款+渠道费+运营费+不融资险种费用</x:v>
      </x:c>
      <x:c r="E12" s="101" t="str">
        <x:v>已映射</x:v>
      </x:c>
      <x:c r="F12" s="101" t="str">
        <x:v>全部险种时不融资险种费用为0</x:v>
      </x:c>
    </x:row>
    <x:row r="13">
      <x:c r="A13" s="101" t="str">
        <x:v>限制</x:v>
      </x:c>
      <x:c r="B13" s="101" t="str">
        <x:v>其他分期费用</x:v>
      </x:c>
      <x:c r="C13" s="159" t="str">
        <x:v>vinOtherFeeMap</x:v>
      </x:c>
      <x:c r="D13" s="159" t="str">
        <x:v>逐车试算O列按车辆/期次手工录入</x:v>
      </x:c>
      <x:c r="E13" s="101" t="str">
        <x:v>显式输入</x:v>
      </x:c>
      <x:c r="F13" s="101" t="str">
        <x:v>自营默认0</x:v>
      </x:c>
    </x:row>
    <x:row r="14">
      <x:c r="A14" s="101" t="str">
        <x:v>限制</x:v>
      </x:c>
      <x:c r="B14" s="101" t="str">
        <x:v>资方保理</x:v>
      </x:c>
      <x:c r="C14" s="159" t="str">
        <x:v>factoring_principal / factoring_fee</x:v>
      </x:c>
      <x:c r="D14" s="159" t="str">
        <x:v>未纳入本表</x:v>
      </x:c>
      <x:c r="E14" s="101" t="str">
        <x:v>不在范围</x:v>
      </x:c>
      <x:c r="F14" s="101" t="str">
        <x:v>需要时可另建资方试算页</x:v>
      </x:c>
    </x:row>
    <x:row r="15">
      <x:c r="A15" s="101" t="str">
        <x:v>限制</x:v>
      </x:c>
      <x:c r="B15" s="101" t="str">
        <x:v>部署提交</x:v>
      </x:c>
      <x:c r="C15" s="159" t="str">
        <x:v>生产数据库有2026-08-16新增记录</x:v>
      </x:c>
      <x:c r="D15" s="159" t="str">
        <x:v>运行口径与 master 样本回代一致</x:v>
      </x:c>
      <x:c r="E15" s="101" t="str">
        <x:v>数据佐证</x:v>
      </x:c>
      <x:c r="F15" s="101" t="str">
        <x:v>未读取服务器部署commit</x:v>
      </x:c>
    </x:row>
  </x:sheetData>
  <x:mergeCells>
    <x:mergeCell ref="A1:F1"/>
  </x:mergeCells>
  <x:conditionalFormatting sqref="E4:E15">
    <x:cfRule type="containsText" dxfId="8" priority="1" operator="containsText" text="确认"/>
    <x:cfRule type="containsText" dxfId="9" priority="2" operator="containsText" text="OK"/>
  </x:conditionalFormatting>
  <x:pageMargins left="0.7" right="0.7" top="0.75" bottom="0.75" header="0.3" footer="0.3"/>
</x:worksheet>
</file>